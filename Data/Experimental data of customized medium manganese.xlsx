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2"/>
  <workbookPr filterPrivacy="1"/>
  <xr:revisionPtr revIDLastSave="0" documentId="13_ncr:1_{1D987D62-F264-BE49-AB3B-A2605CC767FE}" xr6:coauthVersionLast="47" xr6:coauthVersionMax="47" xr10:uidLastSave="{00000000-0000-0000-0000-000000000000}"/>
  <bookViews>
    <workbookView xWindow="4360" yWindow="660" windowWidth="30200" windowHeight="21680" xr2:uid="{00000000-000D-0000-FFFF-FFFF00000000}"/>
  </bookViews>
  <sheets>
    <sheet name="Tabelle1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" i="1" l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I59" i="1" l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38" i="1"/>
  <c r="I39" i="1"/>
  <c r="I40" i="1"/>
  <c r="I41" i="1"/>
  <c r="I42" i="1"/>
  <c r="I32" i="1"/>
  <c r="I33" i="1"/>
  <c r="I34" i="1"/>
  <c r="I18" i="1"/>
  <c r="I19" i="1"/>
  <c r="I20" i="1"/>
  <c r="I21" i="1"/>
  <c r="I22" i="1"/>
  <c r="I13" i="1"/>
  <c r="I14" i="1"/>
  <c r="I15" i="1"/>
  <c r="I16" i="1"/>
  <c r="I17" i="1"/>
  <c r="I44" i="1" l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43" i="1"/>
  <c r="I24" i="1"/>
  <c r="I25" i="1"/>
  <c r="I26" i="1"/>
  <c r="I27" i="1"/>
  <c r="I35" i="1"/>
  <c r="I36" i="1"/>
  <c r="I37" i="1"/>
  <c r="I28" i="1"/>
  <c r="I29" i="1"/>
  <c r="I30" i="1"/>
  <c r="I31" i="1"/>
  <c r="I23" i="1"/>
  <c r="I5" i="1"/>
  <c r="I6" i="1"/>
  <c r="I7" i="1"/>
  <c r="I8" i="1"/>
  <c r="I9" i="1"/>
  <c r="I10" i="1"/>
  <c r="I11" i="1"/>
  <c r="I12" i="1"/>
  <c r="I4" i="1"/>
  <c r="F23" i="1" l="1"/>
  <c r="F43" i="1" l="1"/>
  <c r="F4" i="1" l="1"/>
</calcChain>
</file>

<file path=xl/sharedStrings.xml><?xml version="1.0" encoding="utf-8"?>
<sst xmlns="http://schemas.openxmlformats.org/spreadsheetml/2006/main" count="28" uniqueCount="23">
  <si>
    <t>No.</t>
  </si>
  <si>
    <t>Bulk Composition, in wt.%</t>
  </si>
  <si>
    <t>C</t>
  </si>
  <si>
    <t>Mn</t>
  </si>
  <si>
    <t>Al</t>
  </si>
  <si>
    <t>Si</t>
  </si>
  <si>
    <t>Fe</t>
  </si>
  <si>
    <t>Tensile Property</t>
  </si>
  <si>
    <t>UTS (MPa)</t>
  </si>
  <si>
    <t>Uniform elongation (%)</t>
  </si>
  <si>
    <t>Total elongation (%)</t>
  </si>
  <si>
    <t>Annealing Condition</t>
  </si>
  <si>
    <t>Temperature (C)</t>
  </si>
  <si>
    <t>Time (min)</t>
  </si>
  <si>
    <t>Cooling methods</t>
  </si>
  <si>
    <t>Processing and Speciem Thickness (mm)</t>
  </si>
  <si>
    <t>Others</t>
  </si>
  <si>
    <t>Cold deformed samples, for testing</t>
  </si>
  <si>
    <t>CR500</t>
  </si>
  <si>
    <t>CR650</t>
  </si>
  <si>
    <t>UTS*UE</t>
  </si>
  <si>
    <t>CR700</t>
  </si>
  <si>
    <t>SDI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</si>
</sst>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8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rgb="FF3F3F76"/>
      <name val="等线"/>
      <family val="2"/>
      <scheme val="minor"/>
    </font>
    <font>
      <b/>
      <sz val="11"/>
      <name val="等线"/>
      <family val="2"/>
      <scheme val="minor"/>
    </font>
    <font>
      <sz val="1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12"/>
      <color rgb="FF006100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indexed="65"/>
      </patternFill>
    </fill>
    <fill>
      <patternFill patternType="solid">
        <fgColor rgb="FFC6EFCE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8">
    <xf numFmtId="0" fontId="0" fillId="0" borderId="0"/>
    <xf numFmtId="0" fontId="2" fillId="2" borderId="1" applyNumberFormat="0" applyAlignment="0" applyProtection="0"/>
    <xf numFmtId="0" fontId="1" fillId="0" borderId="2"/>
    <xf numFmtId="0" fontId="1" fillId="0" borderId="2"/>
    <xf numFmtId="0" fontId="5" fillId="0" borderId="0">
      <alignment vertical="center"/>
    </xf>
    <xf numFmtId="0" fontId="5" fillId="0" borderId="0">
      <alignment vertical="center"/>
    </xf>
    <xf numFmtId="0" fontId="1" fillId="4" borderId="0" applyNumberFormat="0" applyBorder="0" applyAlignment="0" applyProtection="0"/>
    <xf numFmtId="0" fontId="6" fillId="5" borderId="0" applyNumberFormat="0" applyBorder="0" applyAlignment="0" applyProtection="0">
      <alignment vertical="center"/>
    </xf>
  </cellStyleXfs>
  <cellXfs count="19">
    <xf numFmtId="0" fontId="0" fillId="0" borderId="0" xfId="0"/>
    <xf numFmtId="0" fontId="3" fillId="2" borderId="1" xfId="1" applyFont="1"/>
    <xf numFmtId="0" fontId="4" fillId="2" borderId="1" xfId="1" applyFont="1"/>
    <xf numFmtId="1" fontId="3" fillId="2" borderId="1" xfId="1" applyNumberFormat="1" applyFont="1"/>
    <xf numFmtId="176" fontId="3" fillId="2" borderId="1" xfId="1" applyNumberFormat="1" applyFont="1"/>
    <xf numFmtId="1" fontId="4" fillId="2" borderId="1" xfId="1" applyNumberFormat="1" applyFont="1"/>
    <xf numFmtId="176" fontId="4" fillId="2" borderId="1" xfId="1" applyNumberFormat="1" applyFont="1"/>
    <xf numFmtId="49" fontId="3" fillId="2" borderId="1" xfId="1" applyNumberFormat="1" applyFont="1"/>
    <xf numFmtId="49" fontId="4" fillId="2" borderId="1" xfId="1" applyNumberFormat="1" applyFont="1"/>
    <xf numFmtId="0" fontId="1" fillId="0" borderId="2" xfId="2"/>
    <xf numFmtId="49" fontId="0" fillId="0" borderId="0" xfId="0" applyNumberFormat="1" applyAlignment="1">
      <alignment wrapText="1"/>
    </xf>
    <xf numFmtId="49" fontId="0" fillId="0" borderId="0" xfId="0" applyNumberFormat="1"/>
    <xf numFmtId="0" fontId="0" fillId="3" borderId="0" xfId="0" applyFill="1"/>
    <xf numFmtId="0" fontId="1" fillId="3" borderId="2" xfId="2" applyFill="1"/>
    <xf numFmtId="49" fontId="0" fillId="3" borderId="0" xfId="0" applyNumberFormat="1" applyFill="1" applyAlignment="1">
      <alignment wrapText="1"/>
    </xf>
    <xf numFmtId="0" fontId="5" fillId="0" borderId="0" xfId="5">
      <alignment vertical="center"/>
    </xf>
    <xf numFmtId="0" fontId="1" fillId="4" borderId="0" xfId="6" applyAlignment="1">
      <alignment vertical="center"/>
    </xf>
    <xf numFmtId="0" fontId="5" fillId="0" borderId="0" xfId="4">
      <alignment vertical="center"/>
    </xf>
    <xf numFmtId="0" fontId="6" fillId="5" borderId="0" xfId="7">
      <alignment vertical="center"/>
    </xf>
  </cellXfs>
  <cellStyles count="8">
    <cellStyle name="40% - 着色 1" xfId="6" builtinId="31"/>
    <cellStyle name="Style 2" xfId="2" xr:uid="{00000000-0005-0000-0000-000003000000}"/>
    <cellStyle name="Style 3" xfId="3" xr:uid="{00000000-0005-0000-0000-000004000000}"/>
    <cellStyle name="常规" xfId="0" builtinId="0"/>
    <cellStyle name="常规 10" xfId="5" xr:uid="{00000000-0005-0000-0000-000005000000}"/>
    <cellStyle name="常规 3" xfId="4" xr:uid="{00000000-0005-0000-0000-000006000000}"/>
    <cellStyle name="好" xfId="7" builtinId="26"/>
    <cellStyle name="输入" xfId="1" builtinId="2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4"/>
  <sheetViews>
    <sheetView tabSelected="1" topLeftCell="A5" workbookViewId="0">
      <selection activeCell="H66" sqref="H66"/>
    </sheetView>
  </sheetViews>
  <sheetFormatPr baseColWidth="10" defaultColWidth="8.83203125" defaultRowHeight="15"/>
  <cols>
    <col min="8" max="8" width="37.33203125" bestFit="1" customWidth="1"/>
    <col min="9" max="9" width="26.83203125" bestFit="1" customWidth="1"/>
    <col min="10" max="11" width="22.1640625" bestFit="1" customWidth="1"/>
    <col min="12" max="12" width="19.1640625" bestFit="1" customWidth="1"/>
    <col min="14" max="14" width="15.6640625" bestFit="1" customWidth="1"/>
    <col min="15" max="15" width="19.5" bestFit="1" customWidth="1"/>
    <col min="16" max="16" width="16.1640625" bestFit="1" customWidth="1"/>
  </cols>
  <sheetData>
    <row r="1" spans="1:21">
      <c r="A1" s="1" t="s">
        <v>17</v>
      </c>
      <c r="B1" s="1"/>
      <c r="C1" s="1"/>
      <c r="D1" s="1"/>
      <c r="E1" s="1"/>
      <c r="F1" s="1"/>
      <c r="G1" s="1"/>
      <c r="H1" s="1"/>
      <c r="I1" s="1"/>
      <c r="J1" s="3"/>
      <c r="K1" s="4"/>
      <c r="L1" s="4"/>
      <c r="M1" s="1"/>
      <c r="N1" s="1"/>
      <c r="O1" s="1"/>
      <c r="P1" s="1"/>
      <c r="Q1" s="1"/>
      <c r="R1" s="1"/>
      <c r="S1" s="1"/>
      <c r="T1" s="7"/>
      <c r="U1" s="1"/>
    </row>
    <row r="2" spans="1:21">
      <c r="A2" s="1" t="s">
        <v>0</v>
      </c>
      <c r="B2" s="1"/>
      <c r="C2" s="1" t="s">
        <v>1</v>
      </c>
      <c r="D2" s="1"/>
      <c r="E2" s="1"/>
      <c r="F2" s="1"/>
      <c r="G2" s="1"/>
      <c r="H2" s="1" t="s">
        <v>15</v>
      </c>
      <c r="I2" s="1" t="s">
        <v>20</v>
      </c>
      <c r="J2" s="3"/>
      <c r="K2" s="4" t="s">
        <v>7</v>
      </c>
      <c r="L2" s="4"/>
      <c r="M2" s="1"/>
      <c r="N2" s="1"/>
      <c r="O2" s="1" t="s">
        <v>11</v>
      </c>
      <c r="P2" s="1"/>
      <c r="Q2" s="1"/>
      <c r="R2" s="1"/>
      <c r="S2" s="1"/>
      <c r="T2" s="7"/>
      <c r="U2" s="1"/>
    </row>
    <row r="3" spans="1:21">
      <c r="A3" s="2"/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16</v>
      </c>
      <c r="H3" s="2"/>
      <c r="I3" s="2"/>
      <c r="J3" s="5" t="s">
        <v>8</v>
      </c>
      <c r="K3" s="6" t="s">
        <v>9</v>
      </c>
      <c r="L3" s="6" t="s">
        <v>10</v>
      </c>
      <c r="M3" s="2" t="s">
        <v>22</v>
      </c>
      <c r="N3" s="2" t="s">
        <v>12</v>
      </c>
      <c r="O3" s="2" t="s">
        <v>13</v>
      </c>
      <c r="P3" s="2" t="s">
        <v>14</v>
      </c>
      <c r="Q3" s="2"/>
      <c r="R3" s="2"/>
      <c r="S3" s="2"/>
      <c r="T3" s="8"/>
      <c r="U3" s="2"/>
    </row>
    <row r="4" spans="1:21" s="12" customFormat="1" ht="16">
      <c r="A4" s="12">
        <v>1</v>
      </c>
      <c r="B4" s="13">
        <v>0.2</v>
      </c>
      <c r="C4" s="13">
        <v>7.21</v>
      </c>
      <c r="D4" s="13">
        <v>2.99</v>
      </c>
      <c r="E4" s="13">
        <v>0.03</v>
      </c>
      <c r="F4" s="13">
        <f>100-B4-C4-D4-E4</f>
        <v>89.570000000000007</v>
      </c>
      <c r="G4" s="18"/>
      <c r="H4" s="12" t="s">
        <v>18</v>
      </c>
      <c r="I4" s="12">
        <f>J4*K4/1000</f>
        <v>13.481011334723011</v>
      </c>
      <c r="J4" s="13">
        <v>902.36359588944504</v>
      </c>
      <c r="K4" s="13">
        <v>14.939666666666666</v>
      </c>
      <c r="L4" s="13">
        <v>22.027056000000002</v>
      </c>
      <c r="M4" s="13">
        <f>J4/196.79236094703+K4/12.2512667870241</f>
        <v>5.8047973824735655</v>
      </c>
      <c r="N4" s="13">
        <v>700</v>
      </c>
      <c r="O4" s="13">
        <v>5</v>
      </c>
      <c r="T4" s="14"/>
    </row>
    <row r="5" spans="1:21">
      <c r="B5" s="9"/>
      <c r="C5" s="9"/>
      <c r="D5" s="9"/>
      <c r="E5" s="9"/>
      <c r="F5" s="9"/>
      <c r="I5" s="15">
        <f t="shared" ref="I5:I22" si="0">J5*K5/1000</f>
        <v>35.268431888105823</v>
      </c>
      <c r="J5" s="9">
        <v>929.48639806308813</v>
      </c>
      <c r="K5" s="9">
        <v>37.944000000000003</v>
      </c>
      <c r="L5" s="9">
        <v>40.764942999999995</v>
      </c>
      <c r="M5" s="17">
        <f t="shared" ref="M5:M68" si="1">J5/196.79236094703+K5/12.2512667870241</f>
        <v>7.8203324346758034</v>
      </c>
      <c r="N5" s="9">
        <v>725</v>
      </c>
      <c r="O5" s="9">
        <v>5</v>
      </c>
      <c r="T5" s="10"/>
    </row>
    <row r="6" spans="1:21">
      <c r="B6" s="9"/>
      <c r="C6" s="9"/>
      <c r="D6" s="9"/>
      <c r="E6" s="9"/>
      <c r="F6" s="9"/>
      <c r="I6" s="15">
        <f t="shared" si="0"/>
        <v>31.035720063755626</v>
      </c>
      <c r="J6" s="9">
        <v>1061.6582167140373</v>
      </c>
      <c r="K6" s="9">
        <v>29.233249999999998</v>
      </c>
      <c r="L6" s="9">
        <v>31.514550750000005</v>
      </c>
      <c r="M6" s="17">
        <f t="shared" si="1"/>
        <v>7.7809551680235369</v>
      </c>
      <c r="N6" s="9">
        <v>750</v>
      </c>
      <c r="O6" s="9">
        <v>5</v>
      </c>
      <c r="T6" s="10"/>
    </row>
    <row r="7" spans="1:21">
      <c r="B7" s="9"/>
      <c r="C7" s="9"/>
      <c r="D7" s="9"/>
      <c r="E7" s="9"/>
      <c r="F7" s="9"/>
      <c r="I7" s="15">
        <f t="shared" si="0"/>
        <v>19.778335793300787</v>
      </c>
      <c r="J7" s="9">
        <v>1229.3079615452039</v>
      </c>
      <c r="K7" s="9">
        <v>16.089000000000002</v>
      </c>
      <c r="L7" s="9">
        <v>17.946916000000002</v>
      </c>
      <c r="M7" s="17">
        <f t="shared" si="1"/>
        <v>7.559977969551861</v>
      </c>
      <c r="N7" s="9">
        <v>775</v>
      </c>
      <c r="O7" s="9">
        <v>5</v>
      </c>
      <c r="T7" s="10"/>
    </row>
    <row r="8" spans="1:21">
      <c r="B8" s="9"/>
      <c r="C8" s="9"/>
      <c r="D8" s="9"/>
      <c r="E8" s="9"/>
      <c r="F8" s="9"/>
      <c r="I8" s="15">
        <f t="shared" si="0"/>
        <v>11.887177057675949</v>
      </c>
      <c r="J8" s="9">
        <v>1268.7775704638648</v>
      </c>
      <c r="K8" s="9">
        <v>9.3689999999999998</v>
      </c>
      <c r="L8" s="9">
        <v>10.912110999999999</v>
      </c>
      <c r="M8" s="17">
        <f t="shared" si="1"/>
        <v>7.2120280046104153</v>
      </c>
      <c r="N8" s="9">
        <v>800</v>
      </c>
      <c r="O8" s="9">
        <v>5</v>
      </c>
      <c r="T8" s="11"/>
    </row>
    <row r="9" spans="1:21">
      <c r="B9" s="9"/>
      <c r="C9" s="9"/>
      <c r="D9" s="9"/>
      <c r="E9" s="9"/>
      <c r="F9" s="9"/>
      <c r="H9" t="s">
        <v>19</v>
      </c>
      <c r="I9" s="15">
        <f t="shared" si="0"/>
        <v>21.274999999999999</v>
      </c>
      <c r="J9" s="9">
        <v>851</v>
      </c>
      <c r="K9" s="9">
        <v>25</v>
      </c>
      <c r="L9" s="9">
        <v>31.2</v>
      </c>
      <c r="M9" s="17">
        <f t="shared" si="1"/>
        <v>6.3649601525542909</v>
      </c>
      <c r="N9" s="9">
        <v>710</v>
      </c>
      <c r="O9" s="9">
        <v>15</v>
      </c>
      <c r="T9" s="11"/>
    </row>
    <row r="10" spans="1:21">
      <c r="B10" s="9"/>
      <c r="C10" s="9"/>
      <c r="D10" s="9"/>
      <c r="E10" s="9"/>
      <c r="F10" s="9"/>
      <c r="I10" s="15">
        <f t="shared" si="0"/>
        <v>41.868760000000002</v>
      </c>
      <c r="J10" s="9">
        <v>926.3</v>
      </c>
      <c r="K10" s="9">
        <v>45.2</v>
      </c>
      <c r="L10" s="9">
        <v>50.3</v>
      </c>
      <c r="M10" s="17">
        <f t="shared" si="1"/>
        <v>8.3964060428629459</v>
      </c>
      <c r="N10" s="9">
        <v>720</v>
      </c>
      <c r="O10" s="9">
        <v>15</v>
      </c>
      <c r="T10" s="11"/>
    </row>
    <row r="11" spans="1:21">
      <c r="B11" s="9"/>
      <c r="C11" s="9"/>
      <c r="D11" s="9"/>
      <c r="E11" s="9"/>
      <c r="F11" s="9"/>
      <c r="I11" s="15">
        <f t="shared" si="0"/>
        <v>40.048799999999993</v>
      </c>
      <c r="J11" s="9">
        <v>976.8</v>
      </c>
      <c r="K11" s="9">
        <v>41</v>
      </c>
      <c r="L11" s="9">
        <v>43.8</v>
      </c>
      <c r="M11" s="17">
        <f t="shared" si="1"/>
        <v>8.3102000035370871</v>
      </c>
      <c r="N11" s="9">
        <v>730</v>
      </c>
      <c r="O11" s="9">
        <v>15</v>
      </c>
      <c r="T11" s="11"/>
    </row>
    <row r="12" spans="1:21">
      <c r="B12" s="9"/>
      <c r="C12" s="9"/>
      <c r="D12" s="9"/>
      <c r="E12" s="9"/>
      <c r="F12" s="9"/>
      <c r="I12" s="15">
        <f t="shared" si="0"/>
        <v>36.223200000000006</v>
      </c>
      <c r="J12" s="9">
        <v>1032</v>
      </c>
      <c r="K12" s="9">
        <v>35.1</v>
      </c>
      <c r="L12" s="9">
        <v>38.299999999999997</v>
      </c>
      <c r="M12" s="17">
        <f t="shared" si="1"/>
        <v>8.109115844336344</v>
      </c>
      <c r="N12" s="9">
        <v>740</v>
      </c>
      <c r="O12" s="9">
        <v>15</v>
      </c>
      <c r="T12" s="11"/>
    </row>
    <row r="13" spans="1:21">
      <c r="B13" s="9"/>
      <c r="C13" s="9"/>
      <c r="D13" s="9"/>
      <c r="E13" s="9"/>
      <c r="F13" s="9"/>
      <c r="I13" s="15">
        <f t="shared" si="0"/>
        <v>11.576679364225694</v>
      </c>
      <c r="J13" s="9">
        <v>889.82931316108341</v>
      </c>
      <c r="K13" s="9">
        <v>13.01</v>
      </c>
      <c r="L13" s="9">
        <v>21.417307000000001</v>
      </c>
      <c r="M13" s="17">
        <f t="shared" si="1"/>
        <v>5.5835969276455337</v>
      </c>
      <c r="N13" s="9">
        <v>700</v>
      </c>
      <c r="O13" s="9">
        <v>5</v>
      </c>
      <c r="T13" s="11"/>
    </row>
    <row r="14" spans="1:21">
      <c r="B14" s="9"/>
      <c r="C14" s="9"/>
      <c r="D14" s="9"/>
      <c r="E14" s="9"/>
      <c r="F14" s="9"/>
      <c r="I14" s="15">
        <f t="shared" si="0"/>
        <v>31.171117746877176</v>
      </c>
      <c r="J14" s="9">
        <v>914.64547379334442</v>
      </c>
      <c r="K14" s="9">
        <v>34.08</v>
      </c>
      <c r="L14" s="9">
        <v>41.251223000000003</v>
      </c>
      <c r="M14" s="17">
        <f t="shared" si="1"/>
        <v>7.4295223508599664</v>
      </c>
      <c r="N14" s="9">
        <v>725</v>
      </c>
      <c r="O14" s="9">
        <v>5</v>
      </c>
      <c r="T14" s="11"/>
    </row>
    <row r="15" spans="1:21">
      <c r="B15" s="9"/>
      <c r="C15" s="9"/>
      <c r="D15" s="9"/>
      <c r="E15" s="9"/>
      <c r="F15" s="9"/>
      <c r="I15" s="15">
        <f t="shared" si="0"/>
        <v>30.269747587622813</v>
      </c>
      <c r="J15" s="9">
        <v>1073.014802822503</v>
      </c>
      <c r="K15" s="9">
        <v>28.21</v>
      </c>
      <c r="L15" s="9">
        <v>31.827775250000002</v>
      </c>
      <c r="M15" s="17">
        <f t="shared" si="1"/>
        <v>7.7551416631418579</v>
      </c>
      <c r="N15" s="9">
        <v>750</v>
      </c>
      <c r="O15" s="9">
        <v>5</v>
      </c>
      <c r="T15" s="11"/>
    </row>
    <row r="16" spans="1:21">
      <c r="B16" s="9"/>
      <c r="C16" s="9"/>
      <c r="D16" s="9"/>
      <c r="E16" s="9"/>
      <c r="F16" s="9"/>
      <c r="I16" s="15">
        <f t="shared" si="0"/>
        <v>22.214123112720614</v>
      </c>
      <c r="J16" s="9">
        <v>1234.0493924071227</v>
      </c>
      <c r="K16" s="9">
        <v>18.001000000000001</v>
      </c>
      <c r="L16" s="9">
        <v>20.841003000000001</v>
      </c>
      <c r="M16" s="17">
        <f t="shared" si="1"/>
        <v>7.7401370350046035</v>
      </c>
      <c r="N16" s="9">
        <v>775</v>
      </c>
      <c r="O16" s="9">
        <v>5</v>
      </c>
      <c r="T16" s="11"/>
    </row>
    <row r="17" spans="1:20">
      <c r="B17" s="9"/>
      <c r="C17" s="9"/>
      <c r="D17" s="9"/>
      <c r="E17" s="9"/>
      <c r="F17" s="9"/>
      <c r="I17" s="15">
        <f t="shared" si="0"/>
        <v>5.2526843571502209</v>
      </c>
      <c r="J17" s="9">
        <v>1169.0817621077724</v>
      </c>
      <c r="K17" s="9">
        <v>4.4929999999999994</v>
      </c>
      <c r="L17" s="9">
        <v>4.4928279</v>
      </c>
      <c r="M17" s="17">
        <f t="shared" si="1"/>
        <v>6.3074242893389156</v>
      </c>
      <c r="N17" s="9">
        <v>800</v>
      </c>
      <c r="O17" s="9">
        <v>5</v>
      </c>
      <c r="T17" s="11"/>
    </row>
    <row r="18" spans="1:20">
      <c r="B18" s="9"/>
      <c r="C18" s="9"/>
      <c r="D18" s="9"/>
      <c r="E18" s="9"/>
      <c r="F18" s="9"/>
      <c r="H18" t="s">
        <v>21</v>
      </c>
      <c r="I18" s="15">
        <f t="shared" si="0"/>
        <v>13.11618700582024</v>
      </c>
      <c r="J18" s="9">
        <v>882.11628258929591</v>
      </c>
      <c r="K18" s="9">
        <v>14.869</v>
      </c>
      <c r="L18" s="9">
        <v>22.5500945</v>
      </c>
      <c r="M18" s="17">
        <f t="shared" si="1"/>
        <v>5.6961425882614476</v>
      </c>
      <c r="N18" s="9">
        <v>700</v>
      </c>
      <c r="O18" s="9">
        <v>5</v>
      </c>
      <c r="T18" s="11"/>
    </row>
    <row r="19" spans="1:20">
      <c r="B19" s="9"/>
      <c r="C19" s="9"/>
      <c r="D19" s="9"/>
      <c r="E19" s="9"/>
      <c r="F19" s="9"/>
      <c r="I19" s="15">
        <f t="shared" si="0"/>
        <v>25.388075308873024</v>
      </c>
      <c r="J19" s="9">
        <v>866.73865486141108</v>
      </c>
      <c r="K19" s="9">
        <v>29.291499999999999</v>
      </c>
      <c r="L19" s="9">
        <v>33.627627500000003</v>
      </c>
      <c r="M19" s="17">
        <f t="shared" si="1"/>
        <v>6.7952264033458718</v>
      </c>
      <c r="N19" s="9">
        <v>725</v>
      </c>
      <c r="O19" s="9">
        <v>5</v>
      </c>
      <c r="T19" s="11"/>
    </row>
    <row r="20" spans="1:20">
      <c r="B20" s="9"/>
      <c r="C20" s="9"/>
      <c r="D20" s="9"/>
      <c r="E20" s="9"/>
      <c r="F20" s="9"/>
      <c r="I20" s="15">
        <f t="shared" si="0"/>
        <v>29.683968472509275</v>
      </c>
      <c r="J20" s="9">
        <v>1001.3651718761035</v>
      </c>
      <c r="K20" s="9">
        <v>29.6435</v>
      </c>
      <c r="L20" s="9">
        <v>31.951072499999999</v>
      </c>
      <c r="M20" s="17">
        <f t="shared" si="1"/>
        <v>7.5080625108199861</v>
      </c>
      <c r="N20" s="9">
        <v>750</v>
      </c>
      <c r="O20" s="9">
        <v>5</v>
      </c>
      <c r="T20" s="11"/>
    </row>
    <row r="21" spans="1:20">
      <c r="B21" s="9"/>
      <c r="C21" s="9"/>
      <c r="D21" s="9"/>
      <c r="E21" s="9"/>
      <c r="F21" s="9"/>
      <c r="I21" s="15">
        <f t="shared" si="0"/>
        <v>19.725593578785347</v>
      </c>
      <c r="J21" s="9">
        <v>1122.2708490760588</v>
      </c>
      <c r="K21" s="9">
        <v>17.576499999999999</v>
      </c>
      <c r="L21" s="9">
        <v>20.561225499999999</v>
      </c>
      <c r="M21" s="17">
        <f t="shared" si="1"/>
        <v>7.1374851060503843</v>
      </c>
      <c r="N21" s="9">
        <v>775</v>
      </c>
      <c r="O21" s="9">
        <v>5</v>
      </c>
      <c r="T21" s="11"/>
    </row>
    <row r="22" spans="1:20">
      <c r="B22" s="9"/>
      <c r="C22" s="9"/>
      <c r="D22" s="9"/>
      <c r="E22" s="9"/>
      <c r="F22" s="9"/>
      <c r="I22" s="15">
        <f t="shared" si="0"/>
        <v>11.358352618684707</v>
      </c>
      <c r="J22" s="9">
        <v>1328.6953990389782</v>
      </c>
      <c r="K22" s="9">
        <v>8.5485000000000007</v>
      </c>
      <c r="L22" s="9">
        <v>9.6759283000000007</v>
      </c>
      <c r="M22" s="17">
        <f t="shared" si="1"/>
        <v>7.449527668046116</v>
      </c>
      <c r="N22" s="9">
        <v>800</v>
      </c>
      <c r="O22" s="9">
        <v>5</v>
      </c>
      <c r="T22" s="11"/>
    </row>
    <row r="23" spans="1:20" s="12" customFormat="1" ht="16">
      <c r="A23" s="12">
        <v>2</v>
      </c>
      <c r="B23" s="13">
        <v>0.19</v>
      </c>
      <c r="C23" s="13">
        <v>10.41</v>
      </c>
      <c r="D23" s="13">
        <v>2.85</v>
      </c>
      <c r="E23" s="13">
        <v>0.02</v>
      </c>
      <c r="F23" s="13">
        <f>100-B23-C23-D23-E23</f>
        <v>86.530000000000015</v>
      </c>
      <c r="G23" s="18"/>
      <c r="H23" s="12" t="s">
        <v>19</v>
      </c>
      <c r="I23" s="12">
        <f>J23*K23/1000</f>
        <v>14.695719773009477</v>
      </c>
      <c r="J23" s="13">
        <v>942.94507745736917</v>
      </c>
      <c r="K23" s="13">
        <v>15.58491594509</v>
      </c>
      <c r="L23" s="13">
        <v>23.552306000000002</v>
      </c>
      <c r="M23" s="13">
        <f t="shared" si="1"/>
        <v>6.0636800662824673</v>
      </c>
      <c r="N23" s="13">
        <v>700</v>
      </c>
      <c r="O23" s="13">
        <v>5</v>
      </c>
    </row>
    <row r="24" spans="1:20">
      <c r="B24" s="9"/>
      <c r="C24" s="9"/>
      <c r="D24" s="9"/>
      <c r="E24" s="9"/>
      <c r="F24" s="9"/>
      <c r="I24" s="15">
        <f t="shared" ref="I24:I74" si="2">J24*K24/1000</f>
        <v>42.308072001073008</v>
      </c>
      <c r="J24" s="9">
        <v>1129.1185482005071</v>
      </c>
      <c r="K24" s="9">
        <v>37.470000000000006</v>
      </c>
      <c r="L24" s="9">
        <v>39.946072000000001</v>
      </c>
      <c r="M24" s="17">
        <f t="shared" si="1"/>
        <v>8.7960729413471501</v>
      </c>
      <c r="N24" s="9">
        <v>725</v>
      </c>
      <c r="O24" s="9">
        <v>5</v>
      </c>
    </row>
    <row r="25" spans="1:20">
      <c r="B25" s="9"/>
      <c r="C25" s="9"/>
      <c r="D25" s="9"/>
      <c r="E25" s="9"/>
      <c r="F25" s="9"/>
      <c r="I25" s="15">
        <f t="shared" si="2"/>
        <v>36.628949173339727</v>
      </c>
      <c r="J25" s="9">
        <v>1141.1883021989374</v>
      </c>
      <c r="K25" s="9">
        <v>32.097199999999994</v>
      </c>
      <c r="L25" s="9">
        <v>34.838752800000002</v>
      </c>
      <c r="M25" s="17">
        <f t="shared" si="1"/>
        <v>8.4188548055186256</v>
      </c>
      <c r="N25" s="9">
        <v>750</v>
      </c>
      <c r="O25" s="9">
        <v>5</v>
      </c>
    </row>
    <row r="26" spans="1:20">
      <c r="B26" s="9"/>
      <c r="C26" s="9"/>
      <c r="D26" s="9"/>
      <c r="E26" s="9"/>
      <c r="F26" s="9"/>
      <c r="I26" s="15">
        <f t="shared" si="2"/>
        <v>25.090200282055307</v>
      </c>
      <c r="J26" s="9">
        <v>1476.0243716831078</v>
      </c>
      <c r="K26" s="9">
        <v>16.9985</v>
      </c>
      <c r="L26" s="9">
        <v>20.293616499999999</v>
      </c>
      <c r="M26" s="17">
        <f t="shared" si="1"/>
        <v>8.8879041495675999</v>
      </c>
      <c r="N26" s="9">
        <v>775</v>
      </c>
      <c r="O26" s="9">
        <v>5</v>
      </c>
    </row>
    <row r="27" spans="1:20">
      <c r="B27" s="9"/>
      <c r="C27" s="9"/>
      <c r="D27" s="9"/>
      <c r="E27" s="9"/>
      <c r="F27" s="9"/>
      <c r="I27" s="15">
        <f t="shared" si="2"/>
        <v>13.490993061358257</v>
      </c>
      <c r="J27" s="9">
        <v>1448.0752494346866</v>
      </c>
      <c r="K27" s="9">
        <v>9.3164999999999996</v>
      </c>
      <c r="L27" s="9">
        <v>12.423170499999999</v>
      </c>
      <c r="M27" s="17">
        <f t="shared" si="1"/>
        <v>8.1188435409806026</v>
      </c>
      <c r="N27" s="9">
        <v>800</v>
      </c>
      <c r="O27" s="9">
        <v>5</v>
      </c>
    </row>
    <row r="28" spans="1:20">
      <c r="B28" s="9"/>
      <c r="C28" s="9"/>
      <c r="D28" s="9"/>
      <c r="E28" s="9"/>
      <c r="F28" s="9"/>
      <c r="I28" s="15">
        <f>J28*K28/1000</f>
        <v>33.658559999999994</v>
      </c>
      <c r="J28" s="9">
        <v>967.2</v>
      </c>
      <c r="K28" s="9">
        <v>34.799999999999997</v>
      </c>
      <c r="L28" s="9">
        <v>41.6</v>
      </c>
      <c r="M28" s="17">
        <f t="shared" si="1"/>
        <v>7.7553475065104767</v>
      </c>
      <c r="N28" s="9">
        <v>710</v>
      </c>
      <c r="O28" s="9">
        <v>15</v>
      </c>
    </row>
    <row r="29" spans="1:20">
      <c r="B29" s="9"/>
      <c r="C29" s="9"/>
      <c r="D29" s="9"/>
      <c r="E29" s="9"/>
      <c r="F29" s="9"/>
      <c r="I29" s="15">
        <f>J29*K29/1000</f>
        <v>39.114280000000001</v>
      </c>
      <c r="J29" s="9">
        <v>1008.1</v>
      </c>
      <c r="K29" s="9">
        <v>38.799999999999997</v>
      </c>
      <c r="L29" s="9">
        <v>43.1</v>
      </c>
      <c r="M29" s="17">
        <f t="shared" si="1"/>
        <v>8.2896776259051599</v>
      </c>
      <c r="N29" s="9">
        <v>720</v>
      </c>
      <c r="O29" s="9">
        <v>15</v>
      </c>
    </row>
    <row r="30" spans="1:20">
      <c r="B30" s="9"/>
      <c r="C30" s="9"/>
      <c r="D30" s="9"/>
      <c r="E30" s="9"/>
      <c r="F30" s="9"/>
      <c r="I30" s="15">
        <f>J30*K30/1000</f>
        <v>44.575480000000006</v>
      </c>
      <c r="J30" s="9">
        <v>1058.8</v>
      </c>
      <c r="K30" s="9">
        <v>42.1</v>
      </c>
      <c r="L30" s="9">
        <v>44.9</v>
      </c>
      <c r="M30" s="17">
        <f t="shared" si="1"/>
        <v>8.8166694777258989</v>
      </c>
      <c r="N30" s="9">
        <v>730</v>
      </c>
      <c r="O30" s="9">
        <v>15</v>
      </c>
    </row>
    <row r="31" spans="1:20">
      <c r="B31" s="9"/>
      <c r="C31" s="9"/>
      <c r="D31" s="9"/>
      <c r="E31" s="9"/>
      <c r="F31" s="9"/>
      <c r="I31" s="15">
        <f>J31*K31/1000</f>
        <v>33.950700000000005</v>
      </c>
      <c r="J31" s="9">
        <v>1109.5</v>
      </c>
      <c r="K31" s="9">
        <v>30.6</v>
      </c>
      <c r="L31" s="9">
        <v>35.799999999999997</v>
      </c>
      <c r="M31" s="17">
        <f t="shared" si="1"/>
        <v>8.1356229889176177</v>
      </c>
      <c r="N31" s="9">
        <v>740</v>
      </c>
      <c r="O31" s="9">
        <v>15</v>
      </c>
    </row>
    <row r="32" spans="1:20">
      <c r="B32" s="9"/>
      <c r="C32" s="9"/>
      <c r="D32" s="9"/>
      <c r="E32" s="9"/>
      <c r="F32" s="9"/>
      <c r="H32" t="s">
        <v>18</v>
      </c>
      <c r="I32" s="15">
        <f t="shared" ref="I32:I34" si="3">J32*K32/1000</f>
        <v>23.620972371633773</v>
      </c>
      <c r="J32" s="9">
        <v>999.32192628649022</v>
      </c>
      <c r="K32" s="9">
        <v>23.637000000000004</v>
      </c>
      <c r="L32" s="9">
        <v>29.078651499999996</v>
      </c>
      <c r="M32" s="17">
        <f t="shared" si="1"/>
        <v>7.0074039317168468</v>
      </c>
      <c r="N32" s="9">
        <v>700</v>
      </c>
      <c r="O32" s="9">
        <v>5</v>
      </c>
    </row>
    <row r="33" spans="1:15">
      <c r="B33" s="9"/>
      <c r="C33" s="9"/>
      <c r="D33" s="9"/>
      <c r="E33" s="9"/>
      <c r="F33" s="9"/>
      <c r="I33" s="15">
        <f t="shared" si="3"/>
        <v>37.878710675490119</v>
      </c>
      <c r="J33" s="9">
        <v>1221.5852126233733</v>
      </c>
      <c r="K33" s="9">
        <v>31.00783333333333</v>
      </c>
      <c r="L33" s="9">
        <v>33.215940166666662</v>
      </c>
      <c r="M33" s="17">
        <f t="shared" si="1"/>
        <v>8.7384728537484406</v>
      </c>
      <c r="N33" s="9">
        <v>750</v>
      </c>
      <c r="O33" s="9">
        <v>5</v>
      </c>
    </row>
    <row r="34" spans="1:15">
      <c r="B34" s="9"/>
      <c r="C34" s="9"/>
      <c r="D34" s="9"/>
      <c r="E34" s="9"/>
      <c r="F34" s="9"/>
      <c r="I34" s="15">
        <f t="shared" si="3"/>
        <v>11.642828856938195</v>
      </c>
      <c r="J34" s="9">
        <v>1537.819159548038</v>
      </c>
      <c r="K34" s="9">
        <v>7.5709999999999997</v>
      </c>
      <c r="L34" s="9">
        <v>10.591158200000001</v>
      </c>
      <c r="M34" s="17">
        <f t="shared" si="1"/>
        <v>8.4324019835440893</v>
      </c>
      <c r="N34" s="9">
        <v>800</v>
      </c>
      <c r="O34" s="9">
        <v>5</v>
      </c>
    </row>
    <row r="35" spans="1:15">
      <c r="B35" s="9"/>
      <c r="C35" s="9"/>
      <c r="D35" s="9"/>
      <c r="E35" s="9"/>
      <c r="F35" s="9"/>
      <c r="I35" s="15">
        <f>J35*K35/1000</f>
        <v>35.981549999999999</v>
      </c>
      <c r="J35" s="9">
        <v>1211.5</v>
      </c>
      <c r="K35" s="9">
        <v>29.7</v>
      </c>
      <c r="L35" s="9">
        <v>30.6</v>
      </c>
      <c r="M35" s="17">
        <f t="shared" si="1"/>
        <v>8.5804739998589739</v>
      </c>
      <c r="N35" s="9">
        <v>750</v>
      </c>
      <c r="O35" s="9">
        <v>3</v>
      </c>
    </row>
    <row r="36" spans="1:15">
      <c r="B36" s="9"/>
      <c r="C36" s="9"/>
      <c r="D36" s="9"/>
      <c r="E36" s="9"/>
      <c r="F36" s="9"/>
      <c r="I36" s="15">
        <f>J36*K36/1000</f>
        <v>36.3489</v>
      </c>
      <c r="J36" s="9">
        <v>1275.4000000000001</v>
      </c>
      <c r="K36" s="9">
        <v>28.5</v>
      </c>
      <c r="L36" s="9">
        <v>30.7</v>
      </c>
      <c r="M36" s="17">
        <f t="shared" si="1"/>
        <v>8.8072326711255648</v>
      </c>
      <c r="N36" s="9">
        <v>750</v>
      </c>
      <c r="O36" s="9">
        <v>10</v>
      </c>
    </row>
    <row r="37" spans="1:15">
      <c r="B37" s="9"/>
      <c r="C37" s="9"/>
      <c r="D37" s="9"/>
      <c r="E37" s="9"/>
      <c r="F37" s="9"/>
      <c r="I37" s="15">
        <f>J37*K37/1000</f>
        <v>31.573599999999999</v>
      </c>
      <c r="J37" s="9">
        <v>1294</v>
      </c>
      <c r="K37" s="9">
        <v>24.4</v>
      </c>
      <c r="L37" s="9">
        <v>28.1</v>
      </c>
      <c r="M37" s="17">
        <f t="shared" si="1"/>
        <v>8.5670892649669863</v>
      </c>
      <c r="N37" s="9">
        <v>750</v>
      </c>
      <c r="O37" s="9">
        <v>30</v>
      </c>
    </row>
    <row r="38" spans="1:15">
      <c r="B38" s="9"/>
      <c r="C38" s="9"/>
      <c r="D38" s="9"/>
      <c r="E38" s="9"/>
      <c r="F38" s="9"/>
      <c r="H38" t="s">
        <v>21</v>
      </c>
      <c r="I38" s="15">
        <f t="shared" ref="I38:I42" si="4">J38*K38/1000</f>
        <v>19.94007590721348</v>
      </c>
      <c r="J38" s="9">
        <v>949.03031303667012</v>
      </c>
      <c r="K38" s="9">
        <v>21.011000000000003</v>
      </c>
      <c r="L38" s="9">
        <v>27.010864000000002</v>
      </c>
      <c r="M38" s="17">
        <f t="shared" si="1"/>
        <v>6.5375020154000421</v>
      </c>
      <c r="N38" s="9">
        <v>700</v>
      </c>
      <c r="O38" s="9">
        <v>5</v>
      </c>
    </row>
    <row r="39" spans="1:15">
      <c r="B39" s="9"/>
      <c r="C39" s="9"/>
      <c r="D39" s="9"/>
      <c r="E39" s="9"/>
      <c r="F39" s="9"/>
      <c r="I39" s="15">
        <f t="shared" si="4"/>
        <v>45.654339701889512</v>
      </c>
      <c r="J39" s="9">
        <v>1063.4972035335386</v>
      </c>
      <c r="K39" s="9">
        <v>42.9285</v>
      </c>
      <c r="L39" s="9">
        <v>44.814467499999999</v>
      </c>
      <c r="M39" s="17">
        <f t="shared" si="1"/>
        <v>8.9081639681716105</v>
      </c>
      <c r="N39" s="9">
        <v>725</v>
      </c>
      <c r="O39" s="9">
        <v>5</v>
      </c>
    </row>
    <row r="40" spans="1:15">
      <c r="B40" s="9"/>
      <c r="C40" s="9"/>
      <c r="D40" s="9"/>
      <c r="E40" s="9"/>
      <c r="F40" s="9"/>
      <c r="I40" s="15">
        <f t="shared" si="4"/>
        <v>38.6768270612286</v>
      </c>
      <c r="J40" s="9">
        <v>1180.0589994882919</v>
      </c>
      <c r="K40" s="9">
        <v>32.775333333333336</v>
      </c>
      <c r="L40" s="9">
        <v>34.787318333333332</v>
      </c>
      <c r="M40" s="17">
        <f t="shared" si="1"/>
        <v>8.6717282774142834</v>
      </c>
      <c r="N40" s="9">
        <v>750</v>
      </c>
      <c r="O40" s="9">
        <v>5</v>
      </c>
    </row>
    <row r="41" spans="1:15">
      <c r="B41" s="9"/>
      <c r="C41" s="9"/>
      <c r="D41" s="9"/>
      <c r="E41" s="9"/>
      <c r="F41" s="9"/>
      <c r="I41" s="15">
        <f t="shared" si="4"/>
        <v>20.167525262112541</v>
      </c>
      <c r="J41" s="9">
        <v>1311.8369442295209</v>
      </c>
      <c r="K41" s="9">
        <v>15.373500000000002</v>
      </c>
      <c r="L41" s="9">
        <v>17.2977785</v>
      </c>
      <c r="M41" s="17">
        <f t="shared" si="1"/>
        <v>7.920946710966227</v>
      </c>
      <c r="N41" s="9">
        <v>775</v>
      </c>
      <c r="O41" s="9">
        <v>5</v>
      </c>
    </row>
    <row r="42" spans="1:15">
      <c r="B42" s="9"/>
      <c r="C42" s="9"/>
      <c r="D42" s="9"/>
      <c r="E42" s="9"/>
      <c r="F42" s="9"/>
      <c r="I42" s="15">
        <f t="shared" si="4"/>
        <v>16.049939025758118</v>
      </c>
      <c r="J42" s="9">
        <v>1445.3544982446861</v>
      </c>
      <c r="K42" s="9">
        <v>11.1045</v>
      </c>
      <c r="L42" s="9">
        <v>11.95649585</v>
      </c>
      <c r="M42" s="17">
        <f t="shared" si="1"/>
        <v>8.2509621405139963</v>
      </c>
      <c r="N42" s="9">
        <v>800</v>
      </c>
      <c r="O42" s="9">
        <v>5</v>
      </c>
    </row>
    <row r="43" spans="1:15" s="12" customFormat="1" ht="16">
      <c r="A43" s="12">
        <v>3</v>
      </c>
      <c r="B43" s="13">
        <v>0.18</v>
      </c>
      <c r="C43" s="13">
        <v>10.24</v>
      </c>
      <c r="D43" s="13">
        <v>2.78</v>
      </c>
      <c r="E43" s="13">
        <v>1</v>
      </c>
      <c r="F43" s="13">
        <f>100-B43-C43-D43-E43</f>
        <v>85.8</v>
      </c>
      <c r="G43" s="18"/>
      <c r="H43" s="12" t="s">
        <v>18</v>
      </c>
      <c r="I43" s="16">
        <f t="shared" si="2"/>
        <v>15.583333483116505</v>
      </c>
      <c r="J43" s="13">
        <v>1054.6143709388778</v>
      </c>
      <c r="K43" s="13">
        <v>14.776333333333334</v>
      </c>
      <c r="L43" s="13">
        <v>20.486485666666667</v>
      </c>
      <c r="M43" s="13">
        <f t="shared" si="1"/>
        <v>6.5651274455704183</v>
      </c>
      <c r="N43" s="13">
        <v>700</v>
      </c>
      <c r="O43" s="13">
        <v>5</v>
      </c>
    </row>
    <row r="44" spans="1:15">
      <c r="B44" s="9"/>
      <c r="C44" s="9"/>
      <c r="D44" s="9"/>
      <c r="E44" s="9"/>
      <c r="F44" s="9"/>
      <c r="I44" s="15">
        <f t="shared" si="2"/>
        <v>21.501782372758171</v>
      </c>
      <c r="J44" s="9">
        <v>987.52071889031026</v>
      </c>
      <c r="K44" s="9">
        <v>21.773500000000002</v>
      </c>
      <c r="L44" s="9">
        <v>27.760078</v>
      </c>
      <c r="M44" s="17">
        <f t="shared" si="1"/>
        <v>6.795329399806608</v>
      </c>
      <c r="N44" s="9">
        <v>725</v>
      </c>
      <c r="O44" s="9">
        <v>5</v>
      </c>
    </row>
    <row r="45" spans="1:15">
      <c r="B45" s="9"/>
      <c r="C45" s="9"/>
      <c r="D45" s="9"/>
      <c r="E45" s="9"/>
      <c r="F45" s="9"/>
      <c r="I45" s="15">
        <f t="shared" si="2"/>
        <v>45.88927661140584</v>
      </c>
      <c r="J45" s="9">
        <v>1063.6634254892103</v>
      </c>
      <c r="K45" s="9">
        <v>43.14266666666667</v>
      </c>
      <c r="L45" s="9">
        <v>45.158248333333333</v>
      </c>
      <c r="M45" s="17">
        <f t="shared" si="1"/>
        <v>8.9264898101637336</v>
      </c>
      <c r="N45" s="9">
        <v>750</v>
      </c>
      <c r="O45" s="9">
        <v>5</v>
      </c>
    </row>
    <row r="46" spans="1:15">
      <c r="B46" s="9"/>
      <c r="C46" s="9"/>
      <c r="D46" s="9"/>
      <c r="E46" s="9"/>
      <c r="F46" s="9"/>
      <c r="I46" s="15">
        <f t="shared" si="2"/>
        <v>40.414694900644641</v>
      </c>
      <c r="J46" s="9">
        <v>1179.7844144279729</v>
      </c>
      <c r="K46" s="9">
        <v>34.256</v>
      </c>
      <c r="L46" s="9">
        <v>36.529073000000004</v>
      </c>
      <c r="M46" s="17">
        <f t="shared" si="1"/>
        <v>8.7911912241678625</v>
      </c>
      <c r="N46" s="9">
        <v>775</v>
      </c>
      <c r="O46" s="9">
        <v>5</v>
      </c>
    </row>
    <row r="47" spans="1:15">
      <c r="B47" s="9"/>
      <c r="C47" s="9"/>
      <c r="D47" s="9"/>
      <c r="E47" s="9"/>
      <c r="F47" s="9"/>
      <c r="I47" s="15">
        <f t="shared" si="2"/>
        <v>35.423399487616066</v>
      </c>
      <c r="J47" s="9">
        <v>1283.0381211784586</v>
      </c>
      <c r="K47" s="9">
        <v>27.609000000000002</v>
      </c>
      <c r="L47" s="9">
        <v>28.559340000000006</v>
      </c>
      <c r="M47" s="17">
        <f t="shared" si="1"/>
        <v>8.7733185959870301</v>
      </c>
      <c r="N47" s="9">
        <v>800</v>
      </c>
      <c r="O47" s="9">
        <v>5</v>
      </c>
    </row>
    <row r="48" spans="1:15">
      <c r="B48" s="9"/>
      <c r="C48" s="9"/>
      <c r="D48" s="9"/>
      <c r="E48" s="9"/>
      <c r="F48" s="9"/>
      <c r="I48" s="15">
        <f t="shared" si="2"/>
        <v>20.301179999999999</v>
      </c>
      <c r="J48" s="9">
        <v>1471.1</v>
      </c>
      <c r="K48" s="9">
        <v>13.8</v>
      </c>
      <c r="L48" s="9">
        <v>16.8</v>
      </c>
      <c r="M48" s="17">
        <f t="shared" si="1"/>
        <v>8.6018059216859406</v>
      </c>
      <c r="N48" s="9">
        <v>825</v>
      </c>
      <c r="O48" s="9">
        <v>5</v>
      </c>
    </row>
    <row r="49" spans="2:15">
      <c r="B49" s="9"/>
      <c r="C49" s="9"/>
      <c r="D49" s="9"/>
      <c r="E49" s="9"/>
      <c r="F49" s="9"/>
      <c r="I49" s="15">
        <f t="shared" si="2"/>
        <v>6.8831999999999995</v>
      </c>
      <c r="J49" s="9">
        <v>1434</v>
      </c>
      <c r="K49" s="9">
        <v>4.8</v>
      </c>
      <c r="L49" s="9">
        <v>4.8</v>
      </c>
      <c r="M49" s="17">
        <f t="shared" si="1"/>
        <v>7.678664433888696</v>
      </c>
      <c r="N49" s="9">
        <v>850</v>
      </c>
      <c r="O49" s="9">
        <v>5</v>
      </c>
    </row>
    <row r="50" spans="2:15">
      <c r="B50" s="9"/>
      <c r="C50" s="9"/>
      <c r="D50" s="9"/>
      <c r="E50" s="9"/>
      <c r="F50" s="9"/>
      <c r="I50" s="15">
        <f t="shared" si="2"/>
        <v>43.780729999999998</v>
      </c>
      <c r="J50" s="9">
        <v>1143.0999999999999</v>
      </c>
      <c r="K50" s="9">
        <v>38.299999999999997</v>
      </c>
      <c r="L50" s="9">
        <v>40</v>
      </c>
      <c r="M50" s="17">
        <f t="shared" si="1"/>
        <v>8.9348677576454723</v>
      </c>
      <c r="N50" s="9">
        <v>750</v>
      </c>
      <c r="O50" s="9">
        <v>60</v>
      </c>
    </row>
    <row r="51" spans="2:15">
      <c r="B51" s="9"/>
      <c r="C51" s="9"/>
      <c r="D51" s="9"/>
      <c r="E51" s="9"/>
      <c r="F51" s="9"/>
      <c r="I51" s="15">
        <f t="shared" si="2"/>
        <v>44.719919999999995</v>
      </c>
      <c r="J51" s="9">
        <v>1120.8</v>
      </c>
      <c r="K51" s="9">
        <v>39.9</v>
      </c>
      <c r="L51" s="9">
        <v>42.3</v>
      </c>
      <c r="M51" s="17">
        <f t="shared" si="1"/>
        <v>8.9521490904774463</v>
      </c>
      <c r="N51" s="9">
        <v>750</v>
      </c>
      <c r="O51" s="9">
        <v>180</v>
      </c>
    </row>
    <row r="52" spans="2:15">
      <c r="B52" s="9"/>
      <c r="C52" s="9"/>
      <c r="D52" s="9"/>
      <c r="E52" s="9"/>
      <c r="F52" s="9"/>
      <c r="I52" s="15">
        <f t="shared" si="2"/>
        <v>38.0259</v>
      </c>
      <c r="J52" s="9">
        <v>1102.2</v>
      </c>
      <c r="K52" s="9">
        <v>34.5</v>
      </c>
      <c r="L52" s="9">
        <v>36.4</v>
      </c>
      <c r="M52" s="17">
        <f t="shared" si="1"/>
        <v>8.4168624806917229</v>
      </c>
      <c r="N52" s="9">
        <v>750</v>
      </c>
      <c r="O52" s="9">
        <v>300</v>
      </c>
    </row>
    <row r="53" spans="2:15">
      <c r="B53" s="9"/>
      <c r="C53" s="9"/>
      <c r="D53" s="9"/>
      <c r="E53" s="9"/>
      <c r="F53" s="9"/>
      <c r="I53" s="15">
        <f t="shared" si="2"/>
        <v>32.602150000000002</v>
      </c>
      <c r="J53" s="9">
        <v>1330.7</v>
      </c>
      <c r="K53" s="9">
        <v>24.5</v>
      </c>
      <c r="L53" s="9">
        <v>27.1</v>
      </c>
      <c r="M53" s="17">
        <f t="shared" si="1"/>
        <v>8.7617426649194901</v>
      </c>
      <c r="N53" s="9">
        <v>800</v>
      </c>
      <c r="O53" s="9">
        <v>3</v>
      </c>
    </row>
    <row r="54" spans="2:15">
      <c r="B54" s="9"/>
      <c r="C54" s="9"/>
      <c r="D54" s="9"/>
      <c r="E54" s="9"/>
      <c r="F54" s="9"/>
      <c r="I54" s="15">
        <f t="shared" si="2"/>
        <v>29.395120000000002</v>
      </c>
      <c r="J54" s="9">
        <v>1348.4</v>
      </c>
      <c r="K54" s="9">
        <v>21.8</v>
      </c>
      <c r="L54" s="9">
        <v>24.8</v>
      </c>
      <c r="M54" s="17">
        <f t="shared" si="1"/>
        <v>8.6312998075951572</v>
      </c>
      <c r="N54" s="9">
        <v>800</v>
      </c>
      <c r="O54" s="9">
        <v>10</v>
      </c>
    </row>
    <row r="55" spans="2:15">
      <c r="B55" s="9"/>
      <c r="C55" s="9"/>
      <c r="D55" s="9"/>
      <c r="E55" s="9"/>
      <c r="F55" s="9"/>
      <c r="I55" s="15">
        <f t="shared" si="2"/>
        <v>27.254754999999999</v>
      </c>
      <c r="J55" s="9">
        <v>1339.3</v>
      </c>
      <c r="K55" s="9">
        <v>20.350000000000001</v>
      </c>
      <c r="L55" s="9">
        <v>22.65</v>
      </c>
      <c r="M55" s="17">
        <f t="shared" si="1"/>
        <v>8.4667030675697408</v>
      </c>
      <c r="N55" s="9">
        <v>800</v>
      </c>
      <c r="O55" s="9">
        <v>30</v>
      </c>
    </row>
    <row r="56" spans="2:15">
      <c r="B56" s="9"/>
      <c r="C56" s="9"/>
      <c r="D56" s="9"/>
      <c r="E56" s="9"/>
      <c r="F56" s="9"/>
      <c r="I56" s="15">
        <f t="shared" si="2"/>
        <v>23.258266666666668</v>
      </c>
      <c r="J56" s="9">
        <v>1324</v>
      </c>
      <c r="K56" s="9">
        <v>17.566666666666666</v>
      </c>
      <c r="L56" s="9">
        <v>18.8</v>
      </c>
      <c r="M56" s="17">
        <f t="shared" si="1"/>
        <v>8.1617687566445962</v>
      </c>
      <c r="N56" s="9">
        <v>800</v>
      </c>
      <c r="O56" s="9">
        <v>60</v>
      </c>
    </row>
    <row r="57" spans="2:15">
      <c r="B57" s="9"/>
      <c r="C57" s="9"/>
      <c r="D57" s="9"/>
      <c r="E57" s="9"/>
      <c r="F57" s="9"/>
      <c r="I57" s="15">
        <f t="shared" si="2"/>
        <v>22.386959999999998</v>
      </c>
      <c r="J57" s="9">
        <v>1264.8</v>
      </c>
      <c r="K57" s="9">
        <v>17.7</v>
      </c>
      <c r="L57" s="9">
        <v>19</v>
      </c>
      <c r="M57" s="17">
        <f t="shared" si="1"/>
        <v>7.8718272998994063</v>
      </c>
      <c r="N57" s="9">
        <v>800</v>
      </c>
      <c r="O57" s="9">
        <v>120</v>
      </c>
    </row>
    <row r="58" spans="2:15">
      <c r="B58" s="9"/>
      <c r="C58" s="9"/>
      <c r="D58" s="9"/>
      <c r="E58" s="9"/>
      <c r="F58" s="9"/>
      <c r="I58" s="15">
        <f t="shared" si="2"/>
        <v>17.182410000000001</v>
      </c>
      <c r="J58" s="9">
        <v>1443.9</v>
      </c>
      <c r="K58" s="9">
        <v>11.9</v>
      </c>
      <c r="L58" s="9">
        <v>13.35</v>
      </c>
      <c r="M58" s="17">
        <f t="shared" si="1"/>
        <v>8.3085031713169339</v>
      </c>
      <c r="N58" s="9">
        <v>825</v>
      </c>
      <c r="O58" s="9">
        <v>20</v>
      </c>
    </row>
    <row r="59" spans="2:15">
      <c r="B59" s="9"/>
      <c r="C59" s="9"/>
      <c r="D59" s="9"/>
      <c r="E59" s="9"/>
      <c r="F59" s="9"/>
      <c r="H59" t="s">
        <v>21</v>
      </c>
      <c r="I59" s="15">
        <f t="shared" si="2"/>
        <v>12.83599721522692</v>
      </c>
      <c r="J59" s="9">
        <v>995.50156780106408</v>
      </c>
      <c r="K59" s="9">
        <v>12.894</v>
      </c>
      <c r="L59" s="9">
        <v>18.323647999999999</v>
      </c>
      <c r="M59" s="17">
        <f t="shared" si="1"/>
        <v>6.1111018757772335</v>
      </c>
      <c r="N59" s="9">
        <v>700</v>
      </c>
      <c r="O59" s="9">
        <v>5</v>
      </c>
    </row>
    <row r="60" spans="2:15">
      <c r="B60" s="9"/>
      <c r="C60" s="9"/>
      <c r="D60" s="9"/>
      <c r="E60" s="9"/>
      <c r="F60" s="9"/>
      <c r="I60" s="15">
        <f t="shared" si="2"/>
        <v>27.523324100500609</v>
      </c>
      <c r="J60" s="9">
        <v>942.59573282078827</v>
      </c>
      <c r="K60" s="9">
        <v>29.1995</v>
      </c>
      <c r="L60" s="9">
        <v>32.644017000000005</v>
      </c>
      <c r="M60" s="17">
        <f t="shared" si="1"/>
        <v>7.1731845701662769</v>
      </c>
      <c r="N60" s="9">
        <v>725</v>
      </c>
      <c r="O60" s="9">
        <v>5</v>
      </c>
    </row>
    <row r="61" spans="2:15">
      <c r="B61" s="9"/>
      <c r="C61" s="9"/>
      <c r="D61" s="9"/>
      <c r="E61" s="9"/>
      <c r="F61" s="9"/>
      <c r="I61" s="15">
        <f t="shared" si="2"/>
        <v>46.962368290007682</v>
      </c>
      <c r="J61" s="9">
        <v>1049.1258088466977</v>
      </c>
      <c r="K61" s="9">
        <v>44.763333333333335</v>
      </c>
      <c r="L61" s="9">
        <v>46.444015666666665</v>
      </c>
      <c r="M61" s="17">
        <f t="shared" si="1"/>
        <v>8.9849025793385202</v>
      </c>
      <c r="N61" s="9">
        <v>750</v>
      </c>
      <c r="O61" s="9">
        <v>5</v>
      </c>
    </row>
    <row r="62" spans="2:15">
      <c r="B62" s="9"/>
      <c r="C62" s="9"/>
      <c r="D62" s="9"/>
      <c r="E62" s="9"/>
      <c r="F62" s="9"/>
      <c r="I62" s="15">
        <f t="shared" si="2"/>
        <v>39.424290634883356</v>
      </c>
      <c r="J62" s="9">
        <v>1141.8229131817639</v>
      </c>
      <c r="K62" s="9">
        <v>34.527500000000003</v>
      </c>
      <c r="L62" s="9">
        <v>36.559618999999998</v>
      </c>
      <c r="M62" s="17">
        <f t="shared" si="1"/>
        <v>8.6204509029164971</v>
      </c>
      <c r="N62" s="9">
        <v>775</v>
      </c>
      <c r="O62" s="9">
        <v>5</v>
      </c>
    </row>
    <row r="63" spans="2:15">
      <c r="B63" s="9"/>
      <c r="C63" s="9"/>
      <c r="D63" s="9"/>
      <c r="E63" s="9"/>
      <c r="F63" s="9"/>
      <c r="I63" s="15">
        <f t="shared" si="2"/>
        <v>37.032206353296758</v>
      </c>
      <c r="J63" s="9">
        <v>1291.2355915327964</v>
      </c>
      <c r="K63" s="9">
        <v>28.679666666666666</v>
      </c>
      <c r="L63" s="9">
        <v>29.577117000000001</v>
      </c>
      <c r="M63" s="17">
        <f t="shared" si="1"/>
        <v>8.9023663488743381</v>
      </c>
      <c r="N63" s="9">
        <v>800</v>
      </c>
      <c r="O63" s="9">
        <v>5</v>
      </c>
    </row>
    <row r="64" spans="2:15">
      <c r="B64" s="9"/>
      <c r="C64" s="9"/>
      <c r="D64" s="9"/>
      <c r="E64" s="9"/>
      <c r="F64" s="9"/>
      <c r="I64" s="15">
        <f t="shared" si="2"/>
        <v>21.00095</v>
      </c>
      <c r="J64" s="9">
        <v>1354.9</v>
      </c>
      <c r="K64" s="9">
        <v>15.5</v>
      </c>
      <c r="L64" s="9">
        <v>18.8</v>
      </c>
      <c r="M64" s="17">
        <f t="shared" si="1"/>
        <v>8.1500970080833852</v>
      </c>
      <c r="N64" s="9">
        <v>825</v>
      </c>
      <c r="O64" s="9">
        <v>5</v>
      </c>
    </row>
    <row r="65" spans="2:15">
      <c r="B65" s="9"/>
      <c r="C65" s="9"/>
      <c r="D65" s="9"/>
      <c r="E65" s="9"/>
      <c r="F65" s="9"/>
      <c r="I65" s="15">
        <f t="shared" si="2"/>
        <v>15.818760000000003</v>
      </c>
      <c r="J65" s="9">
        <v>1464.7</v>
      </c>
      <c r="K65" s="9">
        <v>10.8</v>
      </c>
      <c r="L65" s="9">
        <v>10.8</v>
      </c>
      <c r="M65" s="17">
        <f t="shared" si="1"/>
        <v>8.3244116975001514</v>
      </c>
      <c r="N65" s="9">
        <v>850</v>
      </c>
      <c r="O65" s="9">
        <v>5</v>
      </c>
    </row>
    <row r="66" spans="2:15">
      <c r="B66" s="9"/>
      <c r="C66" s="9"/>
      <c r="D66" s="9"/>
      <c r="E66" s="9"/>
      <c r="F66" s="9"/>
      <c r="I66" s="15">
        <f t="shared" si="2"/>
        <v>43.780729999999998</v>
      </c>
      <c r="J66" s="9">
        <v>1143.0999999999999</v>
      </c>
      <c r="K66" s="9">
        <v>38.299999999999997</v>
      </c>
      <c r="L66" s="9">
        <v>40</v>
      </c>
      <c r="M66" s="17">
        <f t="shared" si="1"/>
        <v>8.9348677576454723</v>
      </c>
      <c r="N66" s="9">
        <v>750</v>
      </c>
      <c r="O66" s="9">
        <v>60</v>
      </c>
    </row>
    <row r="67" spans="2:15">
      <c r="B67" s="9"/>
      <c r="C67" s="9"/>
      <c r="D67" s="9"/>
      <c r="E67" s="9"/>
      <c r="F67" s="9"/>
      <c r="I67" s="15">
        <f t="shared" si="2"/>
        <v>44.719919999999995</v>
      </c>
      <c r="J67" s="9">
        <v>1120.8</v>
      </c>
      <c r="K67" s="9">
        <v>39.9</v>
      </c>
      <c r="L67" s="9">
        <v>42.3</v>
      </c>
      <c r="M67" s="17">
        <f t="shared" si="1"/>
        <v>8.9521490904774463</v>
      </c>
      <c r="N67" s="9">
        <v>750</v>
      </c>
      <c r="O67" s="9">
        <v>180</v>
      </c>
    </row>
    <row r="68" spans="2:15">
      <c r="B68" s="9"/>
      <c r="C68" s="9"/>
      <c r="D68" s="9"/>
      <c r="E68" s="9"/>
      <c r="F68" s="9"/>
      <c r="I68" s="15">
        <f t="shared" si="2"/>
        <v>38.0259</v>
      </c>
      <c r="J68" s="9">
        <v>1102.2</v>
      </c>
      <c r="K68" s="9">
        <v>34.5</v>
      </c>
      <c r="L68" s="9">
        <v>36.4</v>
      </c>
      <c r="M68" s="17">
        <f t="shared" si="1"/>
        <v>8.4168624806917229</v>
      </c>
      <c r="N68" s="9">
        <v>750</v>
      </c>
      <c r="O68" s="9">
        <v>300</v>
      </c>
    </row>
    <row r="69" spans="2:15">
      <c r="B69" s="9"/>
      <c r="C69" s="9"/>
      <c r="D69" s="9"/>
      <c r="E69" s="9"/>
      <c r="F69" s="9"/>
      <c r="I69" s="15">
        <f t="shared" si="2"/>
        <v>34.965960000000003</v>
      </c>
      <c r="J69" s="9">
        <v>1304.7</v>
      </c>
      <c r="K69" s="9">
        <v>26.8</v>
      </c>
      <c r="L69" s="9">
        <v>28.5</v>
      </c>
      <c r="M69" s="17">
        <f t="shared" ref="M69:M74" si="5">J69/196.79236094703+K69/12.2512667870241</f>
        <v>8.8173594034797809</v>
      </c>
      <c r="N69" s="9">
        <v>800</v>
      </c>
      <c r="O69" s="9">
        <v>3</v>
      </c>
    </row>
    <row r="70" spans="2:15">
      <c r="B70" s="9"/>
      <c r="C70" s="9"/>
      <c r="D70" s="9"/>
      <c r="E70" s="9"/>
      <c r="F70" s="9"/>
      <c r="I70" s="15">
        <f t="shared" si="2"/>
        <v>33.228999999999999</v>
      </c>
      <c r="J70" s="9">
        <v>1316</v>
      </c>
      <c r="K70" s="9">
        <v>25.25</v>
      </c>
      <c r="L70" s="9">
        <v>28.35</v>
      </c>
      <c r="M70" s="17">
        <f t="shared" si="5"/>
        <v>8.7482628026190099</v>
      </c>
      <c r="N70" s="9">
        <v>800</v>
      </c>
      <c r="O70" s="9">
        <v>10</v>
      </c>
    </row>
    <row r="71" spans="2:15">
      <c r="B71" s="9"/>
      <c r="C71" s="9"/>
      <c r="D71" s="9"/>
      <c r="E71" s="9"/>
      <c r="F71" s="9"/>
      <c r="I71" s="15">
        <f t="shared" si="2"/>
        <v>27.46814777777778</v>
      </c>
      <c r="J71" s="9">
        <v>1293.6333333333334</v>
      </c>
      <c r="K71" s="9">
        <v>21.233333333333334</v>
      </c>
      <c r="L71" s="9">
        <v>24.333333333333332</v>
      </c>
      <c r="M71" s="17">
        <f t="shared" si="5"/>
        <v>8.3067493770309184</v>
      </c>
      <c r="N71" s="9">
        <v>800</v>
      </c>
      <c r="O71" s="9">
        <v>30</v>
      </c>
    </row>
    <row r="72" spans="2:15">
      <c r="B72" s="9"/>
      <c r="C72" s="9"/>
      <c r="D72" s="9"/>
      <c r="E72" s="9"/>
      <c r="F72" s="9"/>
      <c r="I72" s="15">
        <f t="shared" si="2"/>
        <v>26.671320000000001</v>
      </c>
      <c r="J72" s="9">
        <v>1279.1999999999998</v>
      </c>
      <c r="K72" s="9">
        <v>20.85</v>
      </c>
      <c r="L72" s="9">
        <v>23.5</v>
      </c>
      <c r="M72" s="17">
        <f t="shared" si="5"/>
        <v>8.2021171403806434</v>
      </c>
      <c r="N72" s="9">
        <v>800</v>
      </c>
      <c r="O72" s="9">
        <v>60</v>
      </c>
    </row>
    <row r="73" spans="2:15">
      <c r="B73" s="9"/>
      <c r="C73" s="9"/>
      <c r="D73" s="9"/>
      <c r="E73" s="9"/>
      <c r="F73" s="9"/>
      <c r="I73" s="15">
        <f t="shared" si="2"/>
        <v>21.594560000000001</v>
      </c>
      <c r="J73" s="9">
        <v>1206.4000000000001</v>
      </c>
      <c r="K73" s="9">
        <v>17.899999999999999</v>
      </c>
      <c r="L73" s="9">
        <v>19.3</v>
      </c>
      <c r="M73" s="17">
        <f t="shared" si="5"/>
        <v>7.5913926557476685</v>
      </c>
      <c r="N73" s="9">
        <v>800</v>
      </c>
      <c r="O73" s="9">
        <v>120</v>
      </c>
    </row>
    <row r="74" spans="2:15">
      <c r="B74" s="9"/>
      <c r="C74" s="9"/>
      <c r="D74" s="9"/>
      <c r="E74" s="9"/>
      <c r="F74" s="9"/>
      <c r="I74" s="15">
        <f t="shared" si="2"/>
        <v>17.28012</v>
      </c>
      <c r="J74" s="9">
        <v>1399.1999999999998</v>
      </c>
      <c r="K74" s="9">
        <v>12.35</v>
      </c>
      <c r="L74" s="9">
        <v>15.35</v>
      </c>
      <c r="M74" s="17">
        <f t="shared" si="5"/>
        <v>8.1180911036122438</v>
      </c>
      <c r="N74" s="9">
        <v>825</v>
      </c>
      <c r="O74" s="9">
        <v>20</v>
      </c>
    </row>
  </sheetData>
  <phoneticPr fontId="7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84AF6-A9A8-A14A-AFA5-EA29B208FD71}">
  <dimension ref="A1:C19"/>
  <sheetViews>
    <sheetView workbookViewId="0">
      <selection activeCell="A9" sqref="A9:A19"/>
    </sheetView>
  </sheetViews>
  <sheetFormatPr baseColWidth="10" defaultRowHeight="15"/>
  <sheetData>
    <row r="1" spans="1:3">
      <c r="A1">
        <v>5.8047973824735655</v>
      </c>
      <c r="B1">
        <v>700</v>
      </c>
      <c r="C1">
        <v>5</v>
      </c>
    </row>
    <row r="2" spans="1:3">
      <c r="A2">
        <v>5.5835969276455337</v>
      </c>
      <c r="B2">
        <v>700</v>
      </c>
      <c r="C2">
        <v>5</v>
      </c>
    </row>
    <row r="3" spans="1:3">
      <c r="A3">
        <v>5.6961425882614476</v>
      </c>
      <c r="B3">
        <v>700</v>
      </c>
      <c r="C3">
        <v>5</v>
      </c>
    </row>
    <row r="4" spans="1:3">
      <c r="A4">
        <v>6.3649601525542909</v>
      </c>
      <c r="B4">
        <v>710</v>
      </c>
      <c r="C4">
        <v>15</v>
      </c>
    </row>
    <row r="5" spans="1:3">
      <c r="A5">
        <v>8.3964060428629459</v>
      </c>
      <c r="B5">
        <v>720</v>
      </c>
      <c r="C5">
        <v>15</v>
      </c>
    </row>
    <row r="6" spans="1:3">
      <c r="A6">
        <v>7.8203324346758034</v>
      </c>
      <c r="B6">
        <v>725</v>
      </c>
      <c r="C6">
        <v>5</v>
      </c>
    </row>
    <row r="7" spans="1:3">
      <c r="A7">
        <v>7.4295223508599664</v>
      </c>
      <c r="B7">
        <v>725</v>
      </c>
      <c r="C7">
        <v>5</v>
      </c>
    </row>
    <row r="8" spans="1:3">
      <c r="A8">
        <v>6.7952264033458718</v>
      </c>
      <c r="B8">
        <v>725</v>
      </c>
      <c r="C8">
        <v>5</v>
      </c>
    </row>
    <row r="9" spans="1:3">
      <c r="A9">
        <v>8.3102000035370871</v>
      </c>
      <c r="B9">
        <v>730</v>
      </c>
      <c r="C9">
        <v>15</v>
      </c>
    </row>
    <row r="10" spans="1:3">
      <c r="A10">
        <v>8.109115844336344</v>
      </c>
      <c r="B10">
        <v>740</v>
      </c>
      <c r="C10">
        <v>15</v>
      </c>
    </row>
    <row r="11" spans="1:3">
      <c r="A11">
        <v>7.7809551680235369</v>
      </c>
      <c r="B11">
        <v>750</v>
      </c>
      <c r="C11">
        <v>5</v>
      </c>
    </row>
    <row r="12" spans="1:3">
      <c r="A12">
        <v>7.7551416631418579</v>
      </c>
      <c r="B12">
        <v>750</v>
      </c>
      <c r="C12">
        <v>5</v>
      </c>
    </row>
    <row r="13" spans="1:3">
      <c r="A13">
        <v>7.5080625108199861</v>
      </c>
      <c r="B13">
        <v>750</v>
      </c>
      <c r="C13">
        <v>5</v>
      </c>
    </row>
    <row r="14" spans="1:3">
      <c r="A14">
        <v>7.559977969551861</v>
      </c>
      <c r="B14">
        <v>775</v>
      </c>
      <c r="C14">
        <v>5</v>
      </c>
    </row>
    <row r="15" spans="1:3">
      <c r="A15">
        <v>7.7401370350046035</v>
      </c>
      <c r="B15">
        <v>775</v>
      </c>
      <c r="C15">
        <v>5</v>
      </c>
    </row>
    <row r="16" spans="1:3">
      <c r="A16">
        <v>7.1374851060503843</v>
      </c>
      <c r="B16">
        <v>775</v>
      </c>
      <c r="C16">
        <v>5</v>
      </c>
    </row>
    <row r="17" spans="1:3">
      <c r="A17">
        <v>7.2120280046104153</v>
      </c>
      <c r="B17">
        <v>800</v>
      </c>
      <c r="C17">
        <v>5</v>
      </c>
    </row>
    <row r="18" spans="1:3">
      <c r="A18">
        <v>6.3074242893389156</v>
      </c>
      <c r="B18">
        <v>800</v>
      </c>
      <c r="C18">
        <v>5</v>
      </c>
    </row>
    <row r="19" spans="1:3">
      <c r="A19">
        <v>7.449527668046116</v>
      </c>
      <c r="B19">
        <v>800</v>
      </c>
      <c r="C19">
        <v>5</v>
      </c>
    </row>
  </sheetData>
  <sortState xmlns:xlrd2="http://schemas.microsoft.com/office/spreadsheetml/2017/richdata2" ref="A1:C19">
    <sortCondition ref="B1:B19"/>
  </sortState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Tabelle1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2026-07-03T12:45:03Z</dcterms:modified>
</cp:coreProperties>
</file>