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/>
  <xr:revisionPtr revIDLastSave="0" documentId="13_ncr:1_{CCCF22F4-4D7F-5346-8F52-775FB30106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edium Mn steels" sheetId="1" r:id="rId1"/>
    <sheet name="lightweight steels" sheetId="5" r:id="rId2"/>
    <sheet name="High Mn TRIP and TWIP" sheetId="8" r:id="rId3"/>
    <sheet name="DP steel" sheetId="9" r:id="rId4"/>
    <sheet name="TRIP steel" sheetId="10" r:id="rId5"/>
    <sheet name="Q&amp;P " sheetId="11" r:id="rId6"/>
    <sheet name="IF steel and Fe" sheetId="13" r:id="rId7"/>
    <sheet name="Fe and binary system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6" i="1" l="1"/>
  <c r="F19" i="8" l="1"/>
  <c r="F90" i="14" l="1"/>
  <c r="F91" i="14"/>
  <c r="F92" i="14"/>
  <c r="F89" i="14"/>
  <c r="F205" i="1" l="1"/>
  <c r="F183" i="1"/>
  <c r="F20" i="13" l="1"/>
  <c r="F16" i="13"/>
  <c r="F14" i="13"/>
  <c r="F12" i="13"/>
  <c r="F98" i="9" l="1"/>
  <c r="F93" i="9" l="1"/>
  <c r="F87" i="14"/>
  <c r="F83" i="14"/>
  <c r="F77" i="14"/>
  <c r="F76" i="14"/>
  <c r="F75" i="14"/>
  <c r="F67" i="14"/>
  <c r="F17" i="14"/>
  <c r="F135" i="8"/>
  <c r="F154" i="5"/>
  <c r="F153" i="5"/>
  <c r="F133" i="8"/>
  <c r="F126" i="8" l="1"/>
  <c r="F127" i="8"/>
  <c r="F128" i="8"/>
  <c r="F129" i="8"/>
  <c r="F130" i="8"/>
  <c r="F131" i="8"/>
  <c r="F132" i="8"/>
  <c r="F125" i="8"/>
  <c r="F16" i="14"/>
  <c r="F15" i="14"/>
  <c r="F14" i="14"/>
  <c r="F122" i="8"/>
  <c r="F121" i="8"/>
  <c r="F153" i="10"/>
  <c r="F168" i="10"/>
  <c r="F174" i="10"/>
  <c r="F140" i="10"/>
  <c r="F82" i="9"/>
  <c r="F71" i="9"/>
  <c r="F9" i="14"/>
  <c r="F4" i="14"/>
  <c r="F5" i="13"/>
  <c r="F4" i="13"/>
  <c r="F209" i="11"/>
  <c r="F208" i="11"/>
  <c r="F205" i="11"/>
  <c r="F200" i="11"/>
  <c r="F198" i="11"/>
  <c r="F197" i="11"/>
  <c r="F196" i="11"/>
  <c r="F107" i="11" l="1"/>
  <c r="F84" i="11"/>
  <c r="F60" i="11"/>
  <c r="F32" i="11"/>
  <c r="F4" i="11"/>
  <c r="F137" i="10"/>
  <c r="F128" i="10"/>
  <c r="F123" i="10"/>
  <c r="F118" i="10"/>
  <c r="F113" i="10"/>
  <c r="F98" i="10"/>
  <c r="F96" i="10"/>
  <c r="F97" i="10"/>
  <c r="F95" i="10"/>
  <c r="F93" i="10"/>
  <c r="F91" i="10"/>
  <c r="F87" i="10"/>
  <c r="F84" i="10"/>
  <c r="F79" i="10"/>
  <c r="F80" i="10"/>
  <c r="F81" i="10"/>
  <c r="F82" i="10"/>
  <c r="F83" i="10"/>
  <c r="F78" i="10"/>
  <c r="F74" i="10"/>
  <c r="F70" i="10"/>
  <c r="F11" i="10"/>
  <c r="F19" i="10"/>
  <c r="F27" i="10"/>
  <c r="F36" i="10"/>
  <c r="F61" i="10"/>
  <c r="F4" i="10"/>
  <c r="F150" i="5"/>
  <c r="F118" i="8"/>
  <c r="F119" i="8"/>
  <c r="F120" i="8"/>
  <c r="F117" i="8"/>
  <c r="F61" i="9"/>
  <c r="F62" i="9"/>
  <c r="F65" i="9"/>
  <c r="F68" i="9"/>
  <c r="F58" i="9"/>
  <c r="F57" i="9"/>
  <c r="F56" i="9"/>
  <c r="F51" i="9"/>
  <c r="F48" i="9" l="1"/>
  <c r="F43" i="9"/>
  <c r="F42" i="9"/>
  <c r="F41" i="9"/>
  <c r="F23" i="9"/>
  <c r="F22" i="9" l="1"/>
  <c r="F17" i="9"/>
  <c r="F13" i="9"/>
  <c r="F11" i="9" l="1"/>
  <c r="F7" i="9"/>
  <c r="F5" i="9"/>
  <c r="F4" i="9"/>
  <c r="F116" i="8" l="1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146" i="5"/>
  <c r="F85" i="8"/>
  <c r="F86" i="8"/>
  <c r="F87" i="8"/>
  <c r="F88" i="8"/>
  <c r="F89" i="8"/>
  <c r="F90" i="8"/>
  <c r="F91" i="8"/>
  <c r="F92" i="8"/>
  <c r="F93" i="8"/>
  <c r="F94" i="8"/>
  <c r="F95" i="8"/>
  <c r="F44" i="8"/>
  <c r="F83" i="8"/>
  <c r="F84" i="8"/>
  <c r="F82" i="8"/>
  <c r="F77" i="8"/>
  <c r="F74" i="8"/>
  <c r="F69" i="8"/>
  <c r="F66" i="8"/>
  <c r="F67" i="8"/>
  <c r="F68" i="8"/>
  <c r="F41" i="8"/>
  <c r="F64" i="8"/>
  <c r="F65" i="8"/>
  <c r="F63" i="8"/>
  <c r="F52" i="8" l="1"/>
  <c r="F50" i="8"/>
  <c r="F51" i="8"/>
  <c r="F49" i="8"/>
  <c r="F42" i="8"/>
  <c r="F34" i="8"/>
  <c r="F28" i="8"/>
  <c r="F23" i="8"/>
  <c r="F18" i="8" l="1"/>
  <c r="F16" i="8"/>
  <c r="F17" i="8"/>
  <c r="F15" i="8"/>
  <c r="F14" i="8"/>
  <c r="F13" i="8"/>
  <c r="F12" i="8"/>
  <c r="F11" i="8"/>
  <c r="F10" i="8"/>
  <c r="F9" i="8" l="1"/>
  <c r="F8" i="8"/>
  <c r="F5" i="8"/>
  <c r="F6" i="8"/>
  <c r="F7" i="8"/>
  <c r="F4" i="8"/>
  <c r="F145" i="5"/>
  <c r="F144" i="5"/>
  <c r="F140" i="5"/>
  <c r="F139" i="5"/>
  <c r="F138" i="5"/>
  <c r="F137" i="5"/>
  <c r="F135" i="5"/>
  <c r="F136" i="5"/>
  <c r="F134" i="5"/>
  <c r="F130" i="5"/>
  <c r="F126" i="5" l="1"/>
  <c r="F123" i="5"/>
  <c r="F119" i="5"/>
  <c r="F116" i="5"/>
  <c r="F115" i="5"/>
  <c r="F114" i="5"/>
  <c r="F112" i="5"/>
  <c r="F111" i="5"/>
  <c r="F108" i="5"/>
  <c r="F109" i="5"/>
  <c r="F110" i="5"/>
  <c r="F105" i="5" l="1"/>
  <c r="F103" i="5"/>
  <c r="F104" i="5"/>
  <c r="F102" i="5"/>
  <c r="F100" i="5"/>
  <c r="F98" i="5"/>
  <c r="F96" i="5"/>
  <c r="F94" i="5"/>
  <c r="F92" i="5"/>
  <c r="F87" i="5"/>
  <c r="F86" i="5"/>
  <c r="F85" i="5"/>
  <c r="F83" i="5"/>
  <c r="F77" i="5"/>
  <c r="F70" i="5"/>
  <c r="F69" i="5"/>
  <c r="F61" i="5"/>
  <c r="F57" i="5"/>
  <c r="F49" i="5"/>
  <c r="F43" i="5"/>
  <c r="F39" i="5"/>
  <c r="F472" i="1" l="1"/>
  <c r="F453" i="1"/>
  <c r="F258" i="1"/>
  <c r="F199" i="1" l="1"/>
  <c r="F163" i="1"/>
  <c r="F160" i="1"/>
  <c r="F132" i="1"/>
  <c r="F131" i="1"/>
  <c r="F127" i="1"/>
  <c r="F108" i="1"/>
  <c r="F59" i="1"/>
  <c r="F17" i="5" l="1"/>
  <c r="F14" i="5"/>
  <c r="F36" i="5"/>
  <c r="F13" i="5"/>
  <c r="F29" i="5" l="1"/>
  <c r="F30" i="5"/>
  <c r="F31" i="5"/>
  <c r="F32" i="5"/>
  <c r="F33" i="5"/>
  <c r="F34" i="5"/>
  <c r="F35" i="5"/>
  <c r="F28" i="5"/>
  <c r="F12" i="5"/>
  <c r="F24" i="5"/>
  <c r="F8" i="5"/>
  <c r="F6" i="5"/>
  <c r="F4" i="5"/>
  <c r="F456" i="1" l="1"/>
  <c r="F224" i="1"/>
  <c r="F458" i="1"/>
  <c r="F457" i="1"/>
  <c r="F159" i="1"/>
  <c r="F228" i="1"/>
  <c r="F229" i="1"/>
  <c r="F225" i="1"/>
  <c r="F455" i="1" l="1"/>
  <c r="F223" i="1"/>
  <c r="F23" i="5" l="1"/>
  <c r="F473" i="1" l="1"/>
  <c r="F22" i="5" l="1"/>
  <c r="F21" i="5"/>
  <c r="F20" i="5"/>
  <c r="F487" i="1" l="1"/>
  <c r="F288" i="1"/>
  <c r="F248" i="1"/>
  <c r="F215" i="1"/>
  <c r="F482" i="1"/>
  <c r="F449" i="1"/>
  <c r="F445" i="1"/>
  <c r="F38" i="1"/>
  <c r="F440" i="1"/>
  <c r="F480" i="1"/>
  <c r="F435" i="1"/>
  <c r="F434" i="1"/>
  <c r="F212" i="1"/>
  <c r="F477" i="1"/>
  <c r="F432" i="1"/>
  <c r="F428" i="1"/>
  <c r="F422" i="1"/>
  <c r="F414" i="1"/>
  <c r="F408" i="1"/>
  <c r="F400" i="1"/>
  <c r="F394" i="1"/>
  <c r="F386" i="1"/>
  <c r="F289" i="1" l="1"/>
  <c r="F380" i="1"/>
  <c r="F377" i="1"/>
  <c r="F201" i="1"/>
  <c r="F196" i="1"/>
  <c r="F368" i="1"/>
  <c r="F192" i="1"/>
  <c r="F365" i="1"/>
  <c r="F191" i="1"/>
  <c r="F355" i="1"/>
  <c r="F360" i="1"/>
  <c r="F350" i="1"/>
  <c r="F189" i="1"/>
  <c r="F344" i="1"/>
  <c r="F188" i="1" l="1"/>
  <c r="F149" i="1"/>
  <c r="F328" i="1" l="1"/>
  <c r="F336" i="1"/>
  <c r="F338" i="1"/>
  <c r="F340" i="1"/>
  <c r="F342" i="1"/>
  <c r="F334" i="1"/>
  <c r="F316" i="1"/>
  <c r="F304" i="1"/>
  <c r="F468" i="1" l="1"/>
  <c r="F465" i="1"/>
  <c r="F295" i="1"/>
  <c r="F463" i="1"/>
  <c r="F284" i="1"/>
  <c r="F280" i="1"/>
  <c r="F276" i="1"/>
  <c r="F182" i="1"/>
  <c r="F269" i="1"/>
  <c r="F175" i="1"/>
  <c r="F168" i="1"/>
  <c r="F262" i="1"/>
  <c r="F154" i="1" l="1"/>
  <c r="F100" i="1" l="1"/>
  <c r="F112" i="1"/>
  <c r="F113" i="1"/>
  <c r="F114" i="1"/>
  <c r="F115" i="1"/>
  <c r="F116" i="1"/>
  <c r="F117" i="1"/>
  <c r="F118" i="1"/>
  <c r="F111" i="1"/>
  <c r="F239" i="1"/>
  <c r="F238" i="1" l="1"/>
  <c r="F123" i="1"/>
  <c r="F119" i="1"/>
  <c r="F92" i="1" l="1"/>
  <c r="F84" i="1"/>
  <c r="F76" i="1"/>
  <c r="F58" i="1" l="1"/>
  <c r="F56" i="1"/>
  <c r="F51" i="1"/>
  <c r="F46" i="1"/>
  <c r="F41" i="1"/>
  <c r="F34" i="1" l="1"/>
  <c r="F30" i="1"/>
  <c r="F26" i="1"/>
  <c r="F22" i="1"/>
  <c r="F19" i="1"/>
  <c r="F16" i="1"/>
  <c r="F231" i="1"/>
  <c r="F230" i="1"/>
  <c r="F13" i="1"/>
  <c r="F459" i="1"/>
  <c r="F12" i="1" l="1"/>
  <c r="F10" i="1"/>
  <c r="F6" i="1"/>
  <c r="F5" i="1" l="1"/>
  <c r="F4" i="1"/>
</calcChain>
</file>

<file path=xl/sharedStrings.xml><?xml version="1.0" encoding="utf-8"?>
<sst xmlns="http://schemas.openxmlformats.org/spreadsheetml/2006/main" count="545" uniqueCount="380">
  <si>
    <t>C</t>
  </si>
  <si>
    <t>Mn</t>
  </si>
  <si>
    <t>Bulk Composition, in wt.%</t>
  </si>
  <si>
    <t>Al</t>
  </si>
  <si>
    <t>Si</t>
  </si>
  <si>
    <t>Fe</t>
  </si>
  <si>
    <t>No.</t>
  </si>
  <si>
    <t>Uniform elongation (%)</t>
  </si>
  <si>
    <t>Total elongation (%)</t>
  </si>
  <si>
    <t>Tensile Property</t>
  </si>
  <si>
    <t>Reference</t>
  </si>
  <si>
    <t>Effect of the Strain Rate on the TRIP–TWIP Transition in Austenitic Fe-12 pct Mn-0.6 pct C TWIP Steel</t>
  </si>
  <si>
    <t>Inﬂuence of Intra-granular Ferrite on the Tensile Behavior of Intercritically Annealed 12 pct Mn TWIP+TRIP Steel</t>
  </si>
  <si>
    <t>Authors and institute</t>
  </si>
  <si>
    <t>Localized Deformation in Multiphase, Ultra-Fine-Grained 6 Pct Mn Transformation-Induced Plasticity Steel</t>
  </si>
  <si>
    <t>Observation of the TWIP + TRIP Plasticity-Enhancement Mechanism in Al-Added 6 Wt Pct Medium Mn Steel</t>
  </si>
  <si>
    <t>UTS (MPa)</t>
  </si>
  <si>
    <t>Tensile Behavior of Intercritically Annealed Ultra-Fine Grained 8% Mn Multi-Phase Steel</t>
  </si>
  <si>
    <t>Near-Ac3 austenitized ultra-fine-grained quenching and partitioning (Q&amp;P) steel</t>
  </si>
  <si>
    <t>Tensile Properties of Medium Mn Steel with a Bimodal UFG α + γ and Coarse δ-Ferrite Microstructure</t>
  </si>
  <si>
    <t>Annealing Temperature Dependence of the Tensile Behavior of 10 pct Mn Multi-phase TWIP-TRIP Steel</t>
  </si>
  <si>
    <t>Dong-woo Suh</t>
  </si>
  <si>
    <t>Inﬂuence of Al on the Microstructural Evolution and Mechanical Behavior of Low-Carbon, Manganese Transformation-Induced-Plasticity Steel</t>
  </si>
  <si>
    <t>Medium-Alloy Manganese-Rich Transformation-Induced Plasticity Steels</t>
  </si>
  <si>
    <t>Dong-Woo Suh</t>
  </si>
  <si>
    <t>Microstructure and Mechanical Behaviors of 0.1C-13Mn Metastable Austenitic Steel</t>
  </si>
  <si>
    <t>Thesis, Design considerations for the third generation advanced high strength steel</t>
  </si>
  <si>
    <t>Prediction of tensile properties of intercritically annealed Al-containing 0.19C–4.5Mn (wt%) TRIP steels</t>
  </si>
  <si>
    <t>M. Huang</t>
  </si>
  <si>
    <t>Experimental investigation on a novel medium Mn steel combining transformation-induced plasticity and twinning-induced plasticity effects</t>
  </si>
  <si>
    <t>H. Jun, ArcelorMittal Global R&amp;D – East Chicago</t>
  </si>
  <si>
    <t>On Stability of Retained Austenite in Medium Mn TRIP Steels, HMnS 2011</t>
  </si>
  <si>
    <t>A strong and ductile 7Mn steel manufactured by warm rolling and exhibiting both transformation and twinning induced plasticity</t>
  </si>
  <si>
    <t>A. Arlazarov</t>
  </si>
  <si>
    <t>Evolution of microstructure and mechanical properties of medium Mn steels during double annealing</t>
  </si>
  <si>
    <t>D. Field</t>
  </si>
  <si>
    <t>Chemistry and Properties of Medium-Mn Two-Stage TRIP Steels</t>
  </si>
  <si>
    <t>Intercritical Annealing Response of Medium Manganese Steels Having Different Carbon Concentrations</t>
  </si>
  <si>
    <t>Inﬂuence of Intercritical Annealing Temperature on Microstructure and Mechanical Properties of a Cold-Rolled Medium-Mn Steel</t>
  </si>
  <si>
    <t>Microstructure and mechanical properties of a novel hot-rolled 4% Mn steel processed by intercritical annealing</t>
  </si>
  <si>
    <t>Microstructure and mechanical properties of medium Mn steel containing 3%Al processed by warm rolling</t>
  </si>
  <si>
    <t>Zhikai Guo</t>
  </si>
  <si>
    <t>Microstructures and Mechanical Properties of High-Mn TRIP Steel Based on Warm Deformation of Martensite</t>
  </si>
  <si>
    <t>On the characteristics of Portevin–Le Chatelier bands in cold-rolled 7Mn steel showing transformation-induced plasticity</t>
  </si>
  <si>
    <t>On the Damage Behavior of a 0.1C6Mn Medium-Mn Steel</t>
  </si>
  <si>
    <t>On the microstructural characteristics inﬂuencing the yielding behavior of ultra-ﬁne grained medium-Mn steels</t>
  </si>
  <si>
    <t>The eﬀects of the initial microstructure on microstructural evolution, mechanical properties and reversed austenite stability of intercritically annealed Fe-6.1Mn-1.5Si-0.12C steel</t>
  </si>
  <si>
    <t>Shu Yan from NEU</t>
  </si>
  <si>
    <t>not shown</t>
  </si>
  <si>
    <t>Eﬀects of intercritical annealing process on microstructures and tensile properties of cold-rolled 7Mn steel</t>
  </si>
  <si>
    <t>New ultrahigh-strength Mn-alloyed TRIP steels with improved formability manufactured by intercritical annealing</t>
  </si>
  <si>
    <t>Intercritical rolling induced ultraﬁne microstructure and excellent mechanical properties of the medium-Mn steel</t>
  </si>
  <si>
    <t>Toshihiro Tsuchiyama and Setsuo Takaki</t>
  </si>
  <si>
    <t>Microstructure and mechanical properties of a medium manganese steel treated with interrupted quenching and intercritical annealing</t>
  </si>
  <si>
    <t>Yun bo Xu and Zhiping Hu from NEU</t>
  </si>
  <si>
    <t>Eﬀect of two-step intercritical annealing on microstructure and mechanical properties of hot-rolled medium manganese TRIP steel containing δ-ferrite</t>
  </si>
  <si>
    <t>Z. Zhao from USTB</t>
  </si>
  <si>
    <t>Effects of the austenitizing temperature on the mechanical properties of cold-rolled medium-Mn steel system</t>
  </si>
  <si>
    <t>S. Liu and C. Shang</t>
  </si>
  <si>
    <t>The signiﬁcance of multi-step partitioning: Processing-structure-property relationship in governing high strength-high ductility combination in medium-manganese steels</t>
  </si>
  <si>
    <t>T. Furukawa</t>
  </si>
  <si>
    <t>Dependence of strength-ducti lity characteristics on thermal history in lovvcarbon, 5 vvt-%Mn steels</t>
  </si>
  <si>
    <t>T. Furukawa,</t>
  </si>
  <si>
    <t xml:space="preserve">Double Soaking of a 0.14C-7.14Mn Steel </t>
  </si>
  <si>
    <t xml:space="preserve">Effect of Starting Microstructure and Intercritical Annealing Parameters on the Microstructure and Mechanical Properties of a Medium-Mn Third-Generation Advanced High-Strength Steel </t>
  </si>
  <si>
    <t>Austenite Stability in a 1500MPa Grade Cold-rolled Medium Manganese Steel</t>
  </si>
  <si>
    <t>X.Li and R.Song</t>
  </si>
  <si>
    <t>An ultrahigh strength and enhanced ductility cold-rolled medium-Mn steel treated by intercritical annealing</t>
  </si>
  <si>
    <t>A medium-Mn steel processed by novel twin-roll strip casting route</t>
  </si>
  <si>
    <t>A. Magalhães</t>
  </si>
  <si>
    <t>Analysis of medium manganese steel through cold-rolling and intercritical annealing or warm-rolling</t>
  </si>
  <si>
    <t>Austenite Reversion Tempering-Annealing of 4 wt.% Manganese Steels for Automotive Forging Application</t>
  </si>
  <si>
    <t>Austenite stabilisation by two step partitioning of manganese and carbon in a Mn-TRIP steel</t>
  </si>
  <si>
    <t xml:space="preserve">S. Yan </t>
  </si>
  <si>
    <t>By controlling recrystallization degree: A plain medium Mn steel overcoming Lüders deformation and low yield-to-tensile ratio simultaneously</t>
  </si>
  <si>
    <t>Y. Wang and R. Song</t>
  </si>
  <si>
    <t>Correlation between cementite precipitation and Portevin-Le Chatelier effect in a hot-rolled medium Mn steel</t>
  </si>
  <si>
    <t>N. Zhou and R. Song</t>
  </si>
  <si>
    <t>Dependence of austenite stability and deformation behavior on tempering time in an ultrahigh strength medium Mn TRIP steel</t>
  </si>
  <si>
    <t>A. Perlade and J. Schmitt</t>
  </si>
  <si>
    <t>Development of 3rd generation Medium Mn duplex steels for automotive applications</t>
  </si>
  <si>
    <t>Eﬀect of intermediate temperature annealing on the stability of retained austenite and mechanical properties of medium Mn-TRIP steel</t>
  </si>
  <si>
    <t>Eﬀect of thermomechanical processing at α+ γ two-phase temperatures on microstructure and mechanical property of 5Mn-0.1C-2Si medium-manganese steel</t>
  </si>
  <si>
    <t>Effect of Annealing on Microstructure and Mechanical Properties of Ultrafine-Grained Low-Carbon Medium-Manganese Steel Produced by Heavy Warm Rolling</t>
  </si>
  <si>
    <t>X. Qi and J. Hu</t>
  </si>
  <si>
    <t>Effect of austenite stability on toughness, ductility, and work-hardening of medium-Mn steel</t>
  </si>
  <si>
    <t>H. Natsumeda</t>
  </si>
  <si>
    <t>Effect of Microstructure before Intercritical Annealing on Mechanical Properties of 5% Mn Steel</t>
  </si>
  <si>
    <t>Effect of volume fraction and mechanical stability of austenite on ductility of medium Mn steel</t>
  </si>
  <si>
    <t>Effects of Hot Band Annealing on the Mechanical Properties of Cold-Rolled and Intercritically Annealed Medium Manganese Steels</t>
  </si>
  <si>
    <t>M. Tikhonova</t>
  </si>
  <si>
    <t>Effect of Warm to Hot Rolling on Microstructure, Texture and Mechanical Properties of an Advanced Medium-Mn Steel</t>
  </si>
  <si>
    <t>Enhancement of tensile properties by room-temperature quenching and partitioning of 0.2C–10Mn–2Al steel</t>
  </si>
  <si>
    <t>Y. Zhang</t>
  </si>
  <si>
    <t>Enhancing the Mechanical Properties of Al-Containing Medium Mn Steel Through Warm Rolling and Intercritical Annealing</t>
  </si>
  <si>
    <t>Effect of deep cryogenic pretreatment on microstructure and mechanical properties of warm-deformed 7 Mn steel after intercritical annealing</t>
  </si>
  <si>
    <t>Enhancing the resistance to hydrogen embrittlement of Al-containing medium-Mn steel through heavy warm rolling</t>
  </si>
  <si>
    <t>J. Hu</t>
  </si>
  <si>
    <t>High strength and ductility combination in nano-/ultraﬁne-grained medium-Mn steel by tuning the stability of reverted austenite involving inercritical annealing</t>
  </si>
  <si>
    <t>Y. Yang and H. Jiang</t>
  </si>
  <si>
    <t>Impact of intercritical annealing temperature and strain state on mechanical stability of retained austenite in medium Mn steel</t>
  </si>
  <si>
    <t>M. Callahan</t>
  </si>
  <si>
    <t>Interactions of negative strain rate sensitivity, martensite transformation, and dynamic strain aging in 3rd generation advanced high-strength steels</t>
  </si>
  <si>
    <t>V. Injeti and R. Misra</t>
  </si>
  <si>
    <t>Macro to nanoscale deformation of transformation-induced plasticity steels: Impact of aluminum on the microstructure and deformation behavior</t>
  </si>
  <si>
    <t>Q. Lu</t>
  </si>
  <si>
    <t>Medium-Mn Martensitic Steel Ductilized by Baking</t>
  </si>
  <si>
    <t>J. Li and R. Song</t>
  </si>
  <si>
    <t>Microstructural evolution and tensile properties of 70 GPa·% grade strong and ductile hot-rolled 6Mn steel treated by intercritical annealing</t>
  </si>
  <si>
    <t>Microstructural evolution and precipitation behavior of the warm-rolled medium Mn steels containing Nb or Nb-Mo during intercritical annealing</t>
  </si>
  <si>
    <t>H. Pan and M. Cai</t>
  </si>
  <si>
    <t>Microstructures and Mechanical Properties of 7Mn Steel Manufactured by Different Rolling Processes</t>
  </si>
  <si>
    <t>Partially-recrystallized ferrite grains and multiple plasticity enhancing mechanisms in a medium Mn steel</t>
  </si>
  <si>
    <t>Z. Li</t>
  </si>
  <si>
    <t>The impact of intercritical annealing in conjunction with warm deformation process on microstructure, mechanical properties and TRIP eﬀect in medium-Mn TRIP steels</t>
  </si>
  <si>
    <t xml:space="preserve">Z. Cai </t>
  </si>
  <si>
    <t>The influence of microstructural characteristics on yield point elongation phenomenon in Fe-0.2C-11Mn-2Al steel</t>
  </si>
  <si>
    <t>Time-evolution of microstructure and mechanical behaviour of double annealed medium Mn steel</t>
  </si>
  <si>
    <t>Influence of Nb and V on Microstructure and Mechanical Properties of Hot–Rolled Medium Mn Steels</t>
  </si>
  <si>
    <t>P. Du and H. Yi</t>
  </si>
  <si>
    <t>De Moor and J. Speer (AIST-AHSS conference)</t>
  </si>
  <si>
    <t>A. Bhattacharya</t>
  </si>
  <si>
    <t>Relative effect of C and Mn on strength-toughness of medium Mn steels</t>
  </si>
  <si>
    <t>H. Wang and G. Wang</t>
  </si>
  <si>
    <t>L. Luo, L. Wang and X. Jin</t>
  </si>
  <si>
    <t>D. Kim and S. Kim</t>
  </si>
  <si>
    <t>R. Rana, De Moor and J. Speer</t>
  </si>
  <si>
    <t>The eﬀects of the initial martensite microstructure on the microstructure and tensile properties of intercritically annealed Fe–9Mn–0.05C steel</t>
  </si>
  <si>
    <t>ScienceAdvances</t>
  </si>
  <si>
    <t>Experimental and numerical study of mechanical properties of multi-phase medium-Mn TWIP-TRIP steel: Inﬂuences of strain rate and phase constituents</t>
  </si>
  <si>
    <t>D. Field and D. Van Aken</t>
  </si>
  <si>
    <t>Dynamic Strain Aging Phenomena and Tensile Response of Medium-Mn TRIP Steel</t>
  </si>
  <si>
    <t>Koh-ichi Sugimoto</t>
  </si>
  <si>
    <t>Warm ductility of 0.2% C–1.5% Si–5% Mn TRIP-aided steel</t>
  </si>
  <si>
    <t>The mechanism of hydrogen embrittlement in intercritically annealed medium Mn TRIP steel</t>
  </si>
  <si>
    <t>Microstructure and tensile behavior of duplex low-density steel containing 5 mass% aluminum</t>
  </si>
  <si>
    <t>Tensile deformation of a duplex Fe–20Mn–9Al–0.6C steel having the reduced speciﬁc weight</t>
  </si>
  <si>
    <t>S. Hwang and K.T. Park</t>
  </si>
  <si>
    <t>Achievement of high yield strength and strain hardening rate by forming ﬁne ferrite and dislocation substructures in duplex lightweight steel</t>
  </si>
  <si>
    <t>now shown</t>
  </si>
  <si>
    <t>Y. Kim and J. Lee</t>
  </si>
  <si>
    <t xml:space="preserve">Composition and Temperature Dependence of Tensile Properties of Austenitic Fe-Mn-AI-C Alloys </t>
  </si>
  <si>
    <t>Deformation behavior of ferrite–austenite duplex lightweight Fe–Mn–Al–C steel</t>
  </si>
  <si>
    <t>C. Lin and T.F. Liu</t>
  </si>
  <si>
    <t>Deformation mechanisms in ultrahigh-strength and high-ductility nanostructured FeMnAlC alloy</t>
  </si>
  <si>
    <t>S. Sohn</t>
  </si>
  <si>
    <t>Dramatic improvement of strain hardening and ductility to 95% in highly-deformable high-strength duplex lightweight steels</t>
  </si>
  <si>
    <t>Strain rate near to 10^-3 (one order higher or lower)</t>
  </si>
  <si>
    <t>S. Lee and Y.K. Lee</t>
  </si>
  <si>
    <t>Effect of Tempering on the Microstructure and Tensile Properties of a Martensitic Medium-Mn Lightweight Steel</t>
  </si>
  <si>
    <t>S. Sohn and S. Lee</t>
  </si>
  <si>
    <t>C. Zhao and R. Song</t>
  </si>
  <si>
    <t>Effect of Austenite Stability on Microstructural Evolution and Tensile Properties in Intercritically Annealed Medium-Mn Lightweight Steels</t>
  </si>
  <si>
    <t>Effect of Coiling Temperature on Microstructure and Tensile Behavior of a Hot-Rolled Ferritic Lightweight Steel</t>
  </si>
  <si>
    <t>J. Wang and L. Wang</t>
  </si>
  <si>
    <t>H. Song and S. Sohn</t>
  </si>
  <si>
    <t>Effect of Strain-Induced Age Hardening on Yield Strength Improvement in Ferrite-Austenite Duplex Lightweight Steels</t>
  </si>
  <si>
    <t>A. Zargaran and N. Kim</t>
  </si>
  <si>
    <t>Eﬀects of Nb and C additions on the microstructure and tensile properties of lightweight ferritic Fe–8Al–5Mn alloy</t>
  </si>
  <si>
    <t>R. Rana</t>
  </si>
  <si>
    <t>Evolution of microstructure and mechanical properties during thermomechanical processing of a low-density multiphase steel for automotive application</t>
  </si>
  <si>
    <t>A. Etienne</t>
  </si>
  <si>
    <t>Ferrite Effects in Fe-Mn-Al-C Triplex Steels</t>
  </si>
  <si>
    <t>Microstructures and Mechanical Properties of High-Strength Fe-Mn-AI-C Light-Weight TRIPLEX Steels</t>
  </si>
  <si>
    <t>G. Frommeyer</t>
  </si>
  <si>
    <t>Improvement of tensile properties in (austenite+ferrite+κ-carbide) triplex hot-rolled lightweight steels</t>
  </si>
  <si>
    <t>MPIE, I. Gutierrez-Urrutia</t>
  </si>
  <si>
    <t>Inﬂuence of Al content and precipitation state on the mechanical behavior of austenitic high-Mn low-density steels</t>
  </si>
  <si>
    <t>X. Li and L. Chen</t>
  </si>
  <si>
    <t>Inﬂuence of manganese content on ε-/α′-martensitic transformation and tensile properties of low-C high-Mn TRIP steels</t>
  </si>
  <si>
    <t>Z. Zhao</t>
  </si>
  <si>
    <t>In-Situ Characterization of Deformation and Fracture Behavior of Hot-Rolled Medium Manganese Lightweight Steel</t>
  </si>
  <si>
    <t>Low-density low-carbon Fe–Al ferritic steels</t>
  </si>
  <si>
    <t>Q. Tonizzo</t>
  </si>
  <si>
    <t>Microstructure, plastic ﬂow and fracture behavior of ferrite-austenite duplex low density medium Mn steel</t>
  </si>
  <si>
    <t>A. Grajcar</t>
  </si>
  <si>
    <t>Microstructure–Property Relationships in Thermomechanically Processed Medium-Mn Steels with High Al Content</t>
  </si>
  <si>
    <t>Novel ferrite–austenite duplex lightweight steel with 77% ductility by transformation induced plasticity and twinning induced plasticity mechanisms</t>
  </si>
  <si>
    <t>Novel ultra-high-strength (ferrite + austenite) duplex lightweight steels achieved by ﬁne dislocation substructures (Taylor lattices), grain reﬁnement, and partial recrystallization</t>
  </si>
  <si>
    <t>Novel ultra-high-strength Cu-containing medium-Mn duplex lightweight steels</t>
  </si>
  <si>
    <t>F. Ji</t>
  </si>
  <si>
    <t>Recrystallization behavior in a low-density high-Mn high-Al austenitic steel undergone thin strip casting process</t>
  </si>
  <si>
    <t>J. Lee and H. Han</t>
  </si>
  <si>
    <t>Simulation of κ‑Carbide Precipitation Kinetics in Aged Low‑Density Fe–Mn–Al–C Steels and Its Effects on Strengthening</t>
  </si>
  <si>
    <t>Stacking fault energy and plastic deformation of fully austenitic high manganese steels: Effect of Al addition</t>
  </si>
  <si>
    <t>K. Park</t>
  </si>
  <si>
    <t>J. Pang and Z.Zhao</t>
  </si>
  <si>
    <t>Tensile Behavior and Deformation Mechanism of Fe-Mn-Al-C Low Density Steel with High Strength and High Plasticity</t>
  </si>
  <si>
    <t>S. Tjong and S. Zhu</t>
  </si>
  <si>
    <t>Tensile-deformation-behavior-and-work-hardening-mechanism-of-Fe28Mn9Al04C-and-Fe28Mn9Al1C-alloys1997Materials-Transactions-JIM</t>
  </si>
  <si>
    <t>S. Hwang and K. Park</t>
  </si>
  <si>
    <t>M. Ha and K. Park</t>
  </si>
  <si>
    <t>Tensile deformation of a low density Fe–27Mn–12Al–0.8C duplex steel in association with ordered phases at ambient temperature</t>
  </si>
  <si>
    <t>F. Yang and R. Song</t>
  </si>
  <si>
    <t>Tensile deformation of low density duplex Fe–Mn–Al–C steel</t>
  </si>
  <si>
    <t>J. Choi and S. Lee</t>
  </si>
  <si>
    <t>Cu addition effects on TRIP to TWIP transition and tensile property improvement of ultra-high-strength austenitic high-Mn steels</t>
  </si>
  <si>
    <t>Design for Fe-high Mn alloy with an improved combination of strength and ductility</t>
  </si>
  <si>
    <t>K. Chin and N. Kim</t>
  </si>
  <si>
    <t>Effects of Al addition on deformation and fracture mechanisms in two high manganese TWIP steels</t>
  </si>
  <si>
    <t>Evolution of dislocations and twins in a strong and ductile nanotwinned steel</t>
  </si>
  <si>
    <t xml:space="preserve">G. Frommeyer </t>
  </si>
  <si>
    <t>Supra-Ductile and High-Strength Manganese-TRIP/TWIP Steels for High Energy Absorption Purposes</t>
  </si>
  <si>
    <t>J. Chen</t>
  </si>
  <si>
    <t>Microstructural evolution and deformation mechanism of a Fe-15Mn alloy investigated by electron back-scattered diﬀraction and transmission electron microscopy</t>
  </si>
  <si>
    <t>Y. Dong and X. Zhang</t>
  </si>
  <si>
    <t>The Inﬂuence of Warm Rolling Reduction onMicrostructure Evolution, Tensile Deformation Mechanism and Mechanical Properties of an Fe-30Mn-4Si-2Al TRIP/TWIP Steel</t>
  </si>
  <si>
    <t>Y. Tian and N. Tsuji</t>
  </si>
  <si>
    <t>Enhanced Strength and Ductility in an Ultraﬁne-Grained Fe-22Mn-0.6C Austenitic Steel Having Fully Recrystallized Structure</t>
  </si>
  <si>
    <t>Phiu-on's thesis</t>
  </si>
  <si>
    <t xml:space="preserve">Deformation mechanisms and mechanical properties of hot rolled Fe-Mn-C-(Al)-(Si) austenitic steels </t>
  </si>
  <si>
    <t>Z. Luo and M. Huang</t>
  </si>
  <si>
    <t>Effect of Aluminum and Grain Size on the Fracture Behavior of Twinning-Induced Plasticity Steels</t>
  </si>
  <si>
    <t>J. Jin and Y. Lee</t>
  </si>
  <si>
    <t>Eﬀects of Al on microstructure and tensile properties of C-bearing high Mn TWIP steel</t>
  </si>
  <si>
    <t>Effects of recrystallization annealing temperature on carbide precipitation, microstructure, and mechanical properties in Fe–18Mn–0.6C–1.5Al TWIP steel</t>
  </si>
  <si>
    <t>S. Kang and Y. Lee</t>
  </si>
  <si>
    <t>H.Yu and Y. Lee</t>
  </si>
  <si>
    <t>Post-uniform elongation and tensile fracture mechanisms of Fe-18Mn-0.6C-xAl twinning-induced plasticity steels</t>
  </si>
  <si>
    <t>I. Jung and B.C. De Cooman</t>
  </si>
  <si>
    <t>Temperature dependence of the ﬂow stress of Fe–18Mn–0.6C–xAl twinning-induced plasticity steel</t>
  </si>
  <si>
    <t>Tensile properties and twinning behavior of high manganese austenitic steel with ﬁne-grained structure</t>
  </si>
  <si>
    <t>Ueji and N. Tsuji</t>
  </si>
  <si>
    <t>Rahman and D. Dye</t>
  </si>
  <si>
    <t>The eﬀect of grain size on the twin initiation stress in a TWIP steel</t>
  </si>
  <si>
    <t>K. Jeong and Y. Lee</t>
  </si>
  <si>
    <t>The eﬀects of Si on the mechanical twinning and strain hardening of Fe–18Mn–0.6C twinning-induced plasticity steel</t>
  </si>
  <si>
    <t>Z. Liang and M. Huang</t>
  </si>
  <si>
    <t>The respective hardening contributions of dislocations and twins to the ﬂow stress of a twinning-induced plasticity steel</t>
  </si>
  <si>
    <t>SFE material</t>
  </si>
  <si>
    <t>O. Bouaziz and M. Huang</t>
  </si>
  <si>
    <t xml:space="preserve">Effect of chemical composition on work hardening of Fe-Mn-C TWIP steels </t>
  </si>
  <si>
    <t>R. Xiong</t>
  </si>
  <si>
    <t>Effect of stacking fault energy on work hardening behaviors in Fe–Mn–Si–C high manganese steels by varying silicon and carbon contents</t>
  </si>
  <si>
    <t>O. Grassel and G. Frommeyer</t>
  </si>
  <si>
    <t>High strength Fe±Mn±(Al, Si) TRIP/TWIP steels development Ð properties Ð application</t>
  </si>
  <si>
    <t>Pierman and L. Brassart</t>
  </si>
  <si>
    <t>The inﬂuence of microstructure and composition on the plastic behaviour of dual-phase steels</t>
  </si>
  <si>
    <t>Q. Lai</t>
  </si>
  <si>
    <t>Damage and fracture of dual-phase steels: Inﬂuence of martensite volume fraction</t>
  </si>
  <si>
    <t>M. Calcagnotto and Raabe</t>
  </si>
  <si>
    <t>Deformation and fracture mechanisms in ﬁne- and ultraﬁne-grained ferrite/martensite dual-phase steels and the eﬀect of aging</t>
  </si>
  <si>
    <t>D.A. Korzekwa and G. Krauss</t>
  </si>
  <si>
    <t xml:space="preserve">Dislocation Substructure as a Function of Strain in a Dual-Phase Steel </t>
  </si>
  <si>
    <t>Z. Jiang and J. Lian</t>
  </si>
  <si>
    <t xml:space="preserve">Effects of microstructural variables on the deformation behaviour of dual-phase steel </t>
  </si>
  <si>
    <t>N. Tsuchida and K. Fukaura</t>
  </si>
  <si>
    <t>Effects of Temperature and Strain Rate on Stress-Strain Curves for Dual-Phase Steels and Their Calculations by Using the Kocks-Mecking Model</t>
  </si>
  <si>
    <t>M. Sarwar</t>
  </si>
  <si>
    <t xml:space="preserve">Influence of ferrite-martensite microstructural morphology on tensile properties of dual-phase steel </t>
  </si>
  <si>
    <t>Orientation gradients and geometrically necessary dislocations in ultraﬁne grained dual-phase steels studied by 2D and 3D EBSD</t>
  </si>
  <si>
    <t>S. Sodjit, V. Uthaisangsuk</t>
  </si>
  <si>
    <t>Microstructure based prediction of strain hardening behavior of dual phase steels</t>
  </si>
  <si>
    <t>M. Delince and T. Pardoen</t>
  </si>
  <si>
    <t>Structure–property optimization of ultraﬁne-grained dual-phase steels using a microstructure-based strain hardening model</t>
  </si>
  <si>
    <t>A. Sarosiek and W. Owen</t>
  </si>
  <si>
    <t xml:space="preserve">The Work Hardening of Dual-phase Steels at Small Plastic Strains </t>
  </si>
  <si>
    <t>M. Ghasri-Khouzani and J. McDermid</t>
  </si>
  <si>
    <t>Effect of carbon content on the mechanical properties and microstructural evolution of Fe–22Mn–C steels</t>
  </si>
  <si>
    <t>A. Imandoust and A. Hanzaki</t>
  </si>
  <si>
    <t>Effects of ferrite volume fraction on the tensile deformation characteristics of dual phase twinning induced plasticity steel</t>
  </si>
  <si>
    <t>Y. Sakuma and H. Takechi</t>
  </si>
  <si>
    <t xml:space="preserve">Mechanical Properties and Retained Austenite in Intercritically Heat-Treated Bainite-Transformed Steel and Their Variation with Si and Mn Additions </t>
  </si>
  <si>
    <t>J. Mahieu and S. Claessens</t>
  </si>
  <si>
    <t>Phase Transformation and Mechanical Properties of Si-Free CMnAl Transformation-Induced Plasticity–Aided Steel</t>
  </si>
  <si>
    <t>M. Saleh</t>
  </si>
  <si>
    <t>Retained austenite in dual-phase silicon steels and its effect on mechanical properties</t>
  </si>
  <si>
    <t>Q. Han</t>
  </si>
  <si>
    <t>Suppression of Ms temperature by carbon partitioning from carbon-supersaturated ferrite to metastable austenite during intercritical annealing</t>
  </si>
  <si>
    <t>P.J. Jacques</t>
  </si>
  <si>
    <t>The fracture toughness of TRIP-assisted multiphase steels</t>
  </si>
  <si>
    <t>E. Girault and P. Jacques</t>
  </si>
  <si>
    <t>COMPARISON OF THE EFFECTS OF SILICON AND ALUMINIUM ON THE TENSILE BEHAVIOUR OF MULTIPHASE TRIP-ASSISTED STEELS</t>
  </si>
  <si>
    <t>A. Pichler and P. Stiaszny</t>
  </si>
  <si>
    <t>TRIP steel with reduced silicon content</t>
  </si>
  <si>
    <t>S. Kim and S. Lee</t>
  </si>
  <si>
    <t>Effects of Heat Treatment and Alloying Elements on the Microstructures and Mechanical Properties of 0.15 Wt Pct C Transformation-Induced Plasticity–Aided Cold-Rolled Steel Sheets</t>
  </si>
  <si>
    <t>Ruixian Zhu's thesis</t>
  </si>
  <si>
    <t xml:space="preserve">MICROSTRUCTURE DESIGN OF LOW ALLOY TRANSFORMATION-INDUCED PLASTICITY ASSISTED STEELS </t>
  </si>
  <si>
    <t>E. De Moor and J. Speer</t>
  </si>
  <si>
    <t>Effect of Carbon and Manganese on the Quenching and Partitioning Response of CMnSi Steels</t>
  </si>
  <si>
    <t>Effect of Retained Austenite Stabilized via Quench and Partitioning on the Strain Hardening of Martensitic Steels</t>
  </si>
  <si>
    <t>Containing some DP/TRIP treatment</t>
  </si>
  <si>
    <t>A. Clarke's thesis</t>
  </si>
  <si>
    <t>Carbon partitioning into austenite from martensite in a silicon-containing high strength sheet steel</t>
  </si>
  <si>
    <t xml:space="preserve">1180MPa Quenching &amp; Partitioning Steels with High Formability and Good Stretch-flangeability </t>
  </si>
  <si>
    <t>W. Poling and J. Speer</t>
  </si>
  <si>
    <t xml:space="preserve">Effect of Strain Rate on Tensile Deformation Behavior of a Quenched and Partitioned Steel </t>
  </si>
  <si>
    <t>X. Wang and M. Huang</t>
  </si>
  <si>
    <t>Beneﬁts of Intercritical Annealing in Quenching and Partitioning Steel</t>
  </si>
  <si>
    <t xml:space="preserve">A. Arlazarov </t>
  </si>
  <si>
    <t>Characterization and modeling of mechanical behavior of quenching and partitioning steels</t>
  </si>
  <si>
    <t xml:space="preserve">Z.Zhao </t>
  </si>
  <si>
    <t>W. Feng and J. Speer</t>
  </si>
  <si>
    <t>Effect of Testing Temperature on Retained Austenite Stability of Cold Rolled CMnSi Steels Treated by Quenching and Partitioning Process</t>
  </si>
  <si>
    <t>X. Xiong and L. Wang</t>
  </si>
  <si>
    <t>L. Wang, Baosteel</t>
  </si>
  <si>
    <t>The eﬀect of morphology on the stability of retained austenite in a quenched and partitioned steel</t>
  </si>
  <si>
    <t>N. Tsuji</t>
  </si>
  <si>
    <t>Managing Both Strength and Ductility in Ultraﬁne Grained Steels</t>
  </si>
  <si>
    <t>M. Enomoto and E. Furubayashi</t>
  </si>
  <si>
    <t xml:space="preserve">IMPROVEMENT OF LOW TEMPERATURE DUCTILITY OF ULTRAFINE GRAIN OQIRON BY SUBSTITUTIONAL SOLUTE ELEMENT </t>
  </si>
  <si>
    <t xml:space="preserve">R. G. DAVIES </t>
  </si>
  <si>
    <t xml:space="preserve">Influence of Silicon and Phosphorous on the Mechanical Properties of Both Ferrite and Dual-Phase Steels </t>
  </si>
  <si>
    <t>P. Jacques</t>
  </si>
  <si>
    <t>The Developments of Cold-rolled TRIP-assisted Multiphase Steels. Al-alloyed TRIP-assisted Multiphase Steels</t>
  </si>
  <si>
    <t>K. Kwon and N. Kim</t>
  </si>
  <si>
    <t>Deformation behavior of duplex austenite and ε-martensite high-Mn steel</t>
  </si>
  <si>
    <t>S. Hwang and N. Tsuji</t>
  </si>
  <si>
    <t xml:space="preserve">Effect of Grain Size on Mechanical Properties of Silicon-Added High-Mn TWIP Steel </t>
  </si>
  <si>
    <t>Rintaro Ueji</t>
  </si>
  <si>
    <t>Crystallographic orientation dependence of ε martensite transformation during tensile deformation of polycrystalline 30% Mn austenitic steel</t>
  </si>
  <si>
    <t>M. Koyama</t>
  </si>
  <si>
    <t>Effects of Si on Tensile Properties Associated with Deformation-Induced ¾-Martensitic Transformation in High Mn Austenitic Alloys</t>
  </si>
  <si>
    <t>SFB materials</t>
  </si>
  <si>
    <t>B. BHATTACHARYA</t>
  </si>
  <si>
    <t>A Study of Microstructures and Tensile Properties of Two Fe-Mn-Al-Si-C Alloys</t>
  </si>
  <si>
    <t xml:space="preserve">J. Moon </t>
  </si>
  <si>
    <t>Investigations of the microstructure evolution and tensile deformation behavior of austenitic Fe-Mn-Al-C lightweight steels and the effect of Mo addition</t>
  </si>
  <si>
    <t xml:space="preserve">S. Sohn </t>
  </si>
  <si>
    <t>Microstructural Developments and Tensile Properties of Lean Fe-Mn-Al-C Lightweight Steels</t>
  </si>
  <si>
    <t>T. Kim and Y. Kim</t>
  </si>
  <si>
    <t>Properties of austenitic Fe-25Mn-1A1-0.3C alloy for automotive structural applications</t>
  </si>
  <si>
    <t>W. Fu and T. Maki</t>
  </si>
  <si>
    <t>Effect of Mn and Si Addition on Microstructure and Tensile Properties of Cold-rolled and Annealed Pearlite in Eutectoid Fe–C Alloys</t>
  </si>
  <si>
    <t>X. Liang and H. Zurob</t>
  </si>
  <si>
    <t>Microstructural evolution and strain hardening of Fe–24Mn and Fe–30Mn alloys during tensile deformation</t>
  </si>
  <si>
    <t>ERIC M. TALEFF</t>
  </si>
  <si>
    <t xml:space="preserve">Pearlite in Ultrahigh Carbon Steels: Heat Treatments and Mechanical Properties </t>
  </si>
  <si>
    <t>T. Bouraoui</t>
  </si>
  <si>
    <t>TENSILE PROPERTIES OF A Fe–32Mn–6Si SHAPE MEMORY ALLOY</t>
  </si>
  <si>
    <t xml:space="preserve">YOSHIYUKI T O M I T A </t>
  </si>
  <si>
    <t xml:space="preserve">Effect of morphology of second-phase martensite on tensile properties of Fe-0.1C dual phase steels </t>
  </si>
  <si>
    <t>Baosteel</t>
  </si>
  <si>
    <t>Mechanical Properties of Iron Processed by Severe Plastic Deformation</t>
  </si>
  <si>
    <t>B. Han</t>
  </si>
  <si>
    <t>Hydrogen Embrittlement Susceptibility of Fe-Mn Binary Alloys with High Mn Content: Effects of Stable and Metastable e-Martensite, and Mn Concentration</t>
  </si>
  <si>
    <t>Effects of carbon content on l11echanicalproperties of 5%Mn steels exhibiting transformation induced plasticity</t>
    <phoneticPr fontId="7" type="noConversion"/>
  </si>
  <si>
    <t>Coupled strengthening in a medium manganese lightweight steel with an inhomogeneously grained structure of austenite</t>
    <phoneticPr fontId="7" type="noConversion"/>
  </si>
  <si>
    <r>
      <t>E</t>
    </r>
    <r>
      <rPr>
        <sz val="11"/>
        <color theme="1"/>
        <rFont val="Cambria"/>
        <family val="1"/>
        <charset val="1"/>
      </rPr>
      <t>ﬀ</t>
    </r>
    <r>
      <rPr>
        <sz val="11"/>
        <color theme="1"/>
        <rFont val="等线"/>
        <family val="3"/>
        <charset val="134"/>
        <scheme val="minor"/>
      </rPr>
      <t>ect of annealing temperature on microstructural modi</t>
    </r>
    <r>
      <rPr>
        <sz val="11"/>
        <color theme="1"/>
        <rFont val="MS Gothic"/>
        <family val="3"/>
        <charset val="1"/>
      </rPr>
      <t>ﬁ</t>
    </r>
    <r>
      <rPr>
        <sz val="11"/>
        <color theme="1"/>
        <rFont val="等线"/>
        <family val="3"/>
        <charset val="134"/>
        <scheme val="minor"/>
      </rPr>
      <t>cation and tensile properties in 0.35 C–3.5 Mn–5.8 Al lightweight steel</t>
    </r>
    <phoneticPr fontId="7" type="noConversion"/>
  </si>
  <si>
    <t>Effect of annealing temperature on the microstructure and tensile properties of Fe–10Mn–10Al–0.7C low-density steel</t>
    <phoneticPr fontId="7" type="noConversion"/>
  </si>
  <si>
    <t>Low-density low-carbon Fe–Al ferritic steels</t>
    <phoneticPr fontId="7" type="noConversion"/>
  </si>
  <si>
    <t xml:space="preserve">Influence of Silicon and Phosphorous on the Mechanical Properties of Both Ferrite and Dual-Phase Steels </t>
    <phoneticPr fontId="7" type="noConversion"/>
  </si>
  <si>
    <t>Local approach of damage and fracture toughness for nodular cast iron</t>
  </si>
  <si>
    <t>Processing and properties of ultrahigh-carbon (1.6%C) steel</t>
  </si>
  <si>
    <t>Microstructure and Mechanical Properties of A Ultra-High Carbon Steel</t>
  </si>
  <si>
    <t>Design of a spheroidization processing for ultrahigh carbon steels containing Al</t>
  </si>
  <si>
    <t>Ultra High Carbon Steels Obtained by Powder Metallurgy</t>
  </si>
  <si>
    <t>Microstructure and mechanical properties of the Al-added ultrahigh carbon steel</t>
  </si>
  <si>
    <t>S. Park, D.W. Suh and H.N. Han</t>
    <phoneticPr fontId="7" type="noConversion"/>
  </si>
  <si>
    <t>C. Seo and N. J. Kim</t>
  </si>
  <si>
    <t>C. Lee and Y.K Lee</t>
  </si>
  <si>
    <t xml:space="preserve">Sangwon Lee and De Cooman </t>
  </si>
  <si>
    <t xml:space="preserve">Seawoong Lee and De Cooman </t>
  </si>
  <si>
    <t>Sangwon Lee and De Cooman</t>
  </si>
  <si>
    <t>J. Kim and D. Suh</t>
  </si>
  <si>
    <t>Gibbs &amp; Speer</t>
  </si>
  <si>
    <t>Singon Kang, Daniel Drizan and De Moor</t>
  </si>
  <si>
    <t>S. Kang, D. Drizan, J. Speer and De Moor</t>
  </si>
  <si>
    <t>H. Luo and H. Dong</t>
  </si>
  <si>
    <t>B. Hu and H. Luo</t>
  </si>
  <si>
    <t>Z. Yulong and L. Wang in BaoSteel (HMnS2016)</t>
  </si>
  <si>
    <t>Y. Ma and W. Bleck</t>
  </si>
  <si>
    <t>J. Benzing and D. Ponge</t>
  </si>
  <si>
    <t>F.Yang, H. Luo and H. Dong</t>
  </si>
  <si>
    <t>K. Steineder and D. Krizan</t>
  </si>
  <si>
    <t>D. Pallisco, J.R. McDermid (AIST 2016)</t>
  </si>
  <si>
    <t>Y. Bai and N. Tsuji</t>
  </si>
  <si>
    <t>J. Han and Y. Lee</t>
  </si>
  <si>
    <t>R. Ding and H. Chen, Tsinghua</t>
  </si>
  <si>
    <t>Seonjong Less and De Cooman</t>
  </si>
  <si>
    <t>Y. Zhu and H. Luo</t>
  </si>
  <si>
    <t>S. Chen and W. Cao</t>
  </si>
  <si>
    <t>A. Gramlich and W. Bleck</t>
  </si>
  <si>
    <t>Weijun Hui and Yuqing Weng</t>
  </si>
  <si>
    <t>R. Zhang and H. Dong</t>
  </si>
  <si>
    <t>X. Sun and M. Zhang</t>
  </si>
  <si>
    <t>S. Ahmad and A. Shan</t>
  </si>
  <si>
    <t>Lawrence Cho and De Cooman</t>
  </si>
  <si>
    <t>Strain rate near to 10^-3 (one order higher or lower)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</si>
</sst>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13">
    <font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b/>
      <sz val="11"/>
      <color rgb="FF3F3F76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mbria"/>
      <family val="1"/>
      <charset val="1"/>
    </font>
    <font>
      <sz val="11"/>
      <color theme="1"/>
      <name val="MS Gothic"/>
      <family val="3"/>
      <charset val="1"/>
    </font>
    <font>
      <b/>
      <sz val="11"/>
      <color theme="1"/>
      <name val="等线"/>
      <family val="2"/>
      <scheme val="minor"/>
    </font>
    <font>
      <sz val="11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2" borderId="1" applyNumberFormat="0" applyAlignment="0" applyProtection="0"/>
    <xf numFmtId="0" fontId="2" fillId="3" borderId="2"/>
    <xf numFmtId="0" fontId="2" fillId="0" borderId="2"/>
    <xf numFmtId="0" fontId="2" fillId="0" borderId="2"/>
  </cellStyleXfs>
  <cellXfs count="15">
    <xf numFmtId="0" fontId="0" fillId="0" borderId="0" xfId="0"/>
    <xf numFmtId="0" fontId="1" fillId="0" borderId="0" xfId="0" applyFont="1"/>
    <xf numFmtId="0" fontId="4" fillId="2" borderId="1" xfId="1" applyFont="1"/>
    <xf numFmtId="1" fontId="4" fillId="2" borderId="1" xfId="1" applyNumberFormat="1" applyFont="1"/>
    <xf numFmtId="176" fontId="4" fillId="2" borderId="1" xfId="1" applyNumberFormat="1" applyFont="1"/>
    <xf numFmtId="49" fontId="4" fillId="2" borderId="1" xfId="1" applyNumberFormat="1" applyFont="1"/>
    <xf numFmtId="0" fontId="5" fillId="2" borderId="1" xfId="1" applyFont="1"/>
    <xf numFmtId="1" fontId="5" fillId="2" borderId="1" xfId="1" applyNumberFormat="1" applyFont="1"/>
    <xf numFmtId="176" fontId="5" fillId="2" borderId="1" xfId="1" applyNumberFormat="1" applyFont="1"/>
    <xf numFmtId="49" fontId="5" fillId="2" borderId="1" xfId="1" applyNumberFormat="1" applyFont="1"/>
    <xf numFmtId="0" fontId="0" fillId="0" borderId="0" xfId="0" applyAlignment="1">
      <alignment wrapText="1"/>
    </xf>
    <xf numFmtId="0" fontId="6" fillId="2" borderId="1" xfId="1" applyFont="1"/>
    <xf numFmtId="0" fontId="11" fillId="2" borderId="1" xfId="1" applyFont="1"/>
    <xf numFmtId="0" fontId="12" fillId="2" borderId="1" xfId="1" applyFont="1"/>
    <xf numFmtId="0" fontId="12" fillId="0" borderId="0" xfId="0" applyFont="1"/>
  </cellXfs>
  <cellStyles count="5">
    <cellStyle name="Style 1" xfId="2" xr:uid="{00000000-0005-0000-0000-000003000000}"/>
    <cellStyle name="Style 2" xfId="3" xr:uid="{00000000-0005-0000-0000-000004000000}"/>
    <cellStyle name="Style 3" xfId="4" xr:uid="{00000000-0005-0000-0000-000005000000}"/>
    <cellStyle name="常规" xfId="0" builtinId="0"/>
    <cellStyle name="输入" xfId="1" builtinId="20"/>
  </cellStyles>
  <dxfs count="1"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8"/>
  <sheetViews>
    <sheetView tabSelected="1" topLeftCell="A451" zoomScale="138" zoomScaleNormal="85" workbookViewId="0">
      <selection activeCell="I463" sqref="I463"/>
    </sheetView>
  </sheetViews>
  <sheetFormatPr baseColWidth="10" defaultColWidth="9" defaultRowHeight="15"/>
  <cols>
    <col min="1" max="1" width="9.33203125" customWidth="1"/>
    <col min="2" max="2" width="9.5" customWidth="1"/>
    <col min="7" max="7" width="12.33203125" customWidth="1"/>
    <col min="8" max="8" width="22.5" customWidth="1"/>
    <col min="9" max="9" width="20.33203125" customWidth="1"/>
    <col min="10" max="10" width="37.83203125" style="14" customWidth="1"/>
    <col min="11" max="11" width="143.33203125" customWidth="1"/>
  </cols>
  <sheetData>
    <row r="1" spans="1:11" s="11" customFormat="1">
      <c r="A1" s="11" t="s">
        <v>379</v>
      </c>
      <c r="J1" s="13"/>
    </row>
    <row r="2" spans="1:11" s="11" customFormat="1">
      <c r="A2" s="11" t="s">
        <v>6</v>
      </c>
      <c r="C2" s="11" t="s">
        <v>2</v>
      </c>
      <c r="H2" s="11" t="s">
        <v>9</v>
      </c>
      <c r="J2" s="13" t="s">
        <v>13</v>
      </c>
      <c r="K2" s="11" t="s">
        <v>10</v>
      </c>
    </row>
    <row r="3" spans="1:11" s="11" customFormat="1">
      <c r="B3" s="11" t="s">
        <v>0</v>
      </c>
      <c r="C3" s="11" t="s">
        <v>1</v>
      </c>
      <c r="D3" s="11" t="s">
        <v>3</v>
      </c>
      <c r="E3" s="11" t="s">
        <v>4</v>
      </c>
      <c r="F3" s="11" t="s">
        <v>5</v>
      </c>
      <c r="G3" s="11" t="s">
        <v>16</v>
      </c>
      <c r="H3" s="11" t="s">
        <v>7</v>
      </c>
      <c r="I3" s="11" t="s">
        <v>8</v>
      </c>
      <c r="J3" s="13"/>
    </row>
    <row r="4" spans="1:11">
      <c r="A4">
        <v>1</v>
      </c>
      <c r="B4">
        <v>0.6</v>
      </c>
      <c r="C4">
        <v>12</v>
      </c>
      <c r="D4">
        <v>0</v>
      </c>
      <c r="E4">
        <v>0</v>
      </c>
      <c r="F4">
        <f>100-B4-C4-D4-E4</f>
        <v>87.4</v>
      </c>
      <c r="G4">
        <v>830</v>
      </c>
      <c r="H4">
        <v>27.6</v>
      </c>
      <c r="I4">
        <v>27.6</v>
      </c>
      <c r="J4" t="s">
        <v>352</v>
      </c>
      <c r="K4" t="s">
        <v>11</v>
      </c>
    </row>
    <row r="5" spans="1:11">
      <c r="A5">
        <v>2</v>
      </c>
      <c r="B5">
        <v>0.3</v>
      </c>
      <c r="C5">
        <v>12</v>
      </c>
      <c r="D5">
        <v>3</v>
      </c>
      <c r="E5">
        <v>0</v>
      </c>
      <c r="F5">
        <f>100-B5-C5-D5-E5</f>
        <v>84.7</v>
      </c>
      <c r="G5">
        <v>943.2</v>
      </c>
      <c r="H5">
        <v>46.3</v>
      </c>
      <c r="I5">
        <v>46.3</v>
      </c>
      <c r="J5" t="s">
        <v>352</v>
      </c>
      <c r="K5" t="s">
        <v>12</v>
      </c>
    </row>
    <row r="6" spans="1:11">
      <c r="A6">
        <v>3</v>
      </c>
      <c r="B6">
        <v>0.05</v>
      </c>
      <c r="C6">
        <v>6.15</v>
      </c>
      <c r="D6">
        <v>0</v>
      </c>
      <c r="E6">
        <v>1.5</v>
      </c>
      <c r="F6">
        <f>100-B6-C6-D6-E6</f>
        <v>92.3</v>
      </c>
      <c r="G6">
        <v>1014</v>
      </c>
      <c r="H6">
        <v>20</v>
      </c>
      <c r="I6">
        <v>22.8</v>
      </c>
      <c r="J6" t="s">
        <v>353</v>
      </c>
      <c r="K6" t="s">
        <v>14</v>
      </c>
    </row>
    <row r="7" spans="1:11">
      <c r="A7">
        <v>4</v>
      </c>
      <c r="G7">
        <v>1099</v>
      </c>
      <c r="H7">
        <v>13.8</v>
      </c>
      <c r="I7">
        <v>17.399999999999999</v>
      </c>
      <c r="J7"/>
    </row>
    <row r="8" spans="1:11">
      <c r="A8">
        <v>5</v>
      </c>
      <c r="G8">
        <v>1213</v>
      </c>
      <c r="H8">
        <v>9.5</v>
      </c>
      <c r="I8">
        <v>12.7</v>
      </c>
      <c r="J8"/>
    </row>
    <row r="9" spans="1:11">
      <c r="A9">
        <v>6</v>
      </c>
      <c r="G9">
        <v>1348</v>
      </c>
      <c r="H9">
        <v>6.9</v>
      </c>
      <c r="I9">
        <v>10.199999999999999</v>
      </c>
      <c r="J9"/>
    </row>
    <row r="10" spans="1:11">
      <c r="A10">
        <v>7</v>
      </c>
      <c r="B10">
        <v>0.15</v>
      </c>
      <c r="C10">
        <v>6</v>
      </c>
      <c r="D10">
        <v>3</v>
      </c>
      <c r="E10">
        <v>1.5</v>
      </c>
      <c r="F10">
        <f>100-B10-C10-D10-E10</f>
        <v>89.35</v>
      </c>
      <c r="G10">
        <v>856</v>
      </c>
      <c r="H10">
        <v>14.7</v>
      </c>
      <c r="I10">
        <v>25</v>
      </c>
      <c r="J10" t="s">
        <v>353</v>
      </c>
      <c r="K10" t="s">
        <v>15</v>
      </c>
    </row>
    <row r="11" spans="1:11">
      <c r="A11">
        <v>8</v>
      </c>
      <c r="G11">
        <v>929</v>
      </c>
      <c r="H11">
        <v>35.200000000000003</v>
      </c>
      <c r="I11">
        <v>37</v>
      </c>
      <c r="J11"/>
    </row>
    <row r="12" spans="1:11">
      <c r="A12">
        <v>9</v>
      </c>
      <c r="B12">
        <v>0.3</v>
      </c>
      <c r="C12">
        <v>6</v>
      </c>
      <c r="D12">
        <v>3</v>
      </c>
      <c r="E12">
        <v>1.5</v>
      </c>
      <c r="F12">
        <f>100-B12-C12-D12-E12</f>
        <v>89.2</v>
      </c>
      <c r="G12">
        <v>1053</v>
      </c>
      <c r="H12">
        <v>51</v>
      </c>
      <c r="I12">
        <v>58</v>
      </c>
      <c r="J12"/>
    </row>
    <row r="13" spans="1:11">
      <c r="A13">
        <v>10</v>
      </c>
      <c r="B13">
        <v>0.3</v>
      </c>
      <c r="C13">
        <v>10</v>
      </c>
      <c r="D13">
        <v>3</v>
      </c>
      <c r="E13">
        <v>2</v>
      </c>
      <c r="F13">
        <f>100-B13-C13-D13-E13</f>
        <v>84.7</v>
      </c>
      <c r="G13">
        <v>1241</v>
      </c>
      <c r="H13">
        <v>15.1</v>
      </c>
      <c r="I13">
        <v>16.899999999999999</v>
      </c>
      <c r="J13" t="s">
        <v>354</v>
      </c>
      <c r="K13" t="s">
        <v>20</v>
      </c>
    </row>
    <row r="14" spans="1:11">
      <c r="A14">
        <v>11</v>
      </c>
      <c r="G14">
        <v>1124</v>
      </c>
      <c r="H14">
        <v>29.2</v>
      </c>
      <c r="I14">
        <v>37.9</v>
      </c>
      <c r="J14"/>
    </row>
    <row r="15" spans="1:11">
      <c r="A15">
        <v>12</v>
      </c>
      <c r="G15">
        <v>1148</v>
      </c>
      <c r="H15">
        <v>62.4</v>
      </c>
      <c r="I15">
        <v>64.8</v>
      </c>
      <c r="J15"/>
    </row>
    <row r="16" spans="1:11">
      <c r="A16">
        <v>13</v>
      </c>
      <c r="B16">
        <v>0.12</v>
      </c>
      <c r="C16">
        <v>4.5999999999999996</v>
      </c>
      <c r="D16">
        <v>1.1000000000000001</v>
      </c>
      <c r="E16">
        <v>0.55000000000000004</v>
      </c>
      <c r="F16">
        <f>100-B16-C16-D16-E16</f>
        <v>93.63000000000001</v>
      </c>
      <c r="G16">
        <v>988</v>
      </c>
      <c r="H16">
        <v>11.5</v>
      </c>
      <c r="I16">
        <v>16.7</v>
      </c>
      <c r="J16" t="s">
        <v>21</v>
      </c>
      <c r="K16" t="s">
        <v>22</v>
      </c>
    </row>
    <row r="17" spans="1:11">
      <c r="A17">
        <v>14</v>
      </c>
      <c r="G17">
        <v>1204</v>
      </c>
      <c r="H17">
        <v>12.9</v>
      </c>
      <c r="I17">
        <v>15.9</v>
      </c>
      <c r="J17"/>
    </row>
    <row r="18" spans="1:11">
      <c r="A18">
        <v>15</v>
      </c>
      <c r="G18">
        <v>1461</v>
      </c>
      <c r="H18">
        <v>6.2</v>
      </c>
      <c r="I18">
        <v>8.6</v>
      </c>
      <c r="J18"/>
    </row>
    <row r="19" spans="1:11">
      <c r="A19">
        <v>16</v>
      </c>
      <c r="B19">
        <v>0.12</v>
      </c>
      <c r="C19">
        <v>5.8</v>
      </c>
      <c r="D19">
        <v>3.1</v>
      </c>
      <c r="E19">
        <v>0.47</v>
      </c>
      <c r="F19">
        <f>100-B19-C19-D19-E19</f>
        <v>90.51</v>
      </c>
      <c r="G19">
        <v>854</v>
      </c>
      <c r="H19">
        <v>14.7</v>
      </c>
      <c r="I19">
        <v>21.7</v>
      </c>
      <c r="J19"/>
    </row>
    <row r="20" spans="1:11">
      <c r="A20">
        <v>17</v>
      </c>
      <c r="G20">
        <v>994</v>
      </c>
      <c r="H20">
        <v>23.8</v>
      </c>
      <c r="I20">
        <v>27.5</v>
      </c>
      <c r="J20"/>
    </row>
    <row r="21" spans="1:11">
      <c r="A21">
        <v>18</v>
      </c>
      <c r="G21">
        <v>1161</v>
      </c>
      <c r="H21">
        <v>11.2</v>
      </c>
      <c r="I21">
        <v>12.4</v>
      </c>
      <c r="J21"/>
    </row>
    <row r="22" spans="1:11">
      <c r="A22">
        <v>19</v>
      </c>
      <c r="B22">
        <v>0.11</v>
      </c>
      <c r="C22">
        <v>4.5</v>
      </c>
      <c r="D22">
        <v>2.2000000000000002</v>
      </c>
      <c r="E22">
        <v>0.45</v>
      </c>
      <c r="F22">
        <f>100-B22-C22-D22-E22</f>
        <v>92.74</v>
      </c>
      <c r="G22">
        <v>772</v>
      </c>
      <c r="H22">
        <v>14.2</v>
      </c>
      <c r="I22">
        <v>23</v>
      </c>
      <c r="J22" t="s">
        <v>21</v>
      </c>
      <c r="K22" t="s">
        <v>23</v>
      </c>
    </row>
    <row r="23" spans="1:11">
      <c r="A23">
        <v>20</v>
      </c>
      <c r="G23">
        <v>851</v>
      </c>
      <c r="H23">
        <v>28.7</v>
      </c>
      <c r="I23">
        <v>31.7</v>
      </c>
      <c r="J23"/>
    </row>
    <row r="24" spans="1:11">
      <c r="A24">
        <v>21</v>
      </c>
      <c r="G24">
        <v>929</v>
      </c>
      <c r="H24">
        <v>23</v>
      </c>
      <c r="I24">
        <v>25.7</v>
      </c>
      <c r="J24"/>
    </row>
    <row r="25" spans="1:11">
      <c r="A25">
        <v>22</v>
      </c>
      <c r="G25">
        <v>1014</v>
      </c>
      <c r="H25">
        <v>15.1</v>
      </c>
      <c r="I25">
        <v>19.3</v>
      </c>
      <c r="J25"/>
    </row>
    <row r="26" spans="1:11">
      <c r="A26">
        <v>23</v>
      </c>
      <c r="B26">
        <v>7.4999999999999997E-2</v>
      </c>
      <c r="C26">
        <v>5.0999999999999996</v>
      </c>
      <c r="D26">
        <v>2.1</v>
      </c>
      <c r="E26">
        <v>0.49</v>
      </c>
      <c r="F26">
        <f>100-B26-C26-D26-E26</f>
        <v>92.235000000000014</v>
      </c>
      <c r="G26">
        <v>821</v>
      </c>
      <c r="H26">
        <v>21.3</v>
      </c>
      <c r="I26">
        <v>26.4</v>
      </c>
      <c r="J26"/>
    </row>
    <row r="27" spans="1:11">
      <c r="A27">
        <v>24</v>
      </c>
      <c r="G27">
        <v>870</v>
      </c>
      <c r="H27">
        <v>23.8</v>
      </c>
      <c r="I27">
        <v>28</v>
      </c>
      <c r="J27"/>
    </row>
    <row r="28" spans="1:11">
      <c r="A28">
        <v>25</v>
      </c>
      <c r="G28">
        <v>972</v>
      </c>
      <c r="H28">
        <v>16.100000000000001</v>
      </c>
      <c r="I28">
        <v>20.3</v>
      </c>
      <c r="J28"/>
    </row>
    <row r="29" spans="1:11">
      <c r="A29">
        <v>26</v>
      </c>
      <c r="G29">
        <v>1009</v>
      </c>
      <c r="H29">
        <v>13.1</v>
      </c>
      <c r="I29">
        <v>17</v>
      </c>
      <c r="J29"/>
    </row>
    <row r="30" spans="1:11">
      <c r="A30">
        <v>27</v>
      </c>
      <c r="B30">
        <v>5.5E-2</v>
      </c>
      <c r="C30">
        <v>5.6</v>
      </c>
      <c r="D30">
        <v>2.2000000000000002</v>
      </c>
      <c r="E30">
        <v>0.49</v>
      </c>
      <c r="F30">
        <f>100-B30-C30-D30-E30</f>
        <v>91.655000000000001</v>
      </c>
      <c r="G30">
        <v>871</v>
      </c>
      <c r="H30">
        <v>22.3</v>
      </c>
      <c r="I30">
        <v>27.1</v>
      </c>
      <c r="J30"/>
    </row>
    <row r="31" spans="1:11">
      <c r="A31">
        <v>28</v>
      </c>
      <c r="G31">
        <v>907</v>
      </c>
      <c r="H31">
        <v>17.399999999999999</v>
      </c>
      <c r="I31">
        <v>22.2</v>
      </c>
      <c r="J31"/>
    </row>
    <row r="32" spans="1:11">
      <c r="A32">
        <v>29</v>
      </c>
      <c r="G32">
        <v>974</v>
      </c>
      <c r="H32">
        <v>15.5</v>
      </c>
      <c r="I32">
        <v>19</v>
      </c>
      <c r="J32"/>
    </row>
    <row r="33" spans="1:11">
      <c r="A33">
        <v>30</v>
      </c>
      <c r="G33">
        <v>1008</v>
      </c>
      <c r="H33">
        <v>10.8</v>
      </c>
      <c r="I33">
        <v>15</v>
      </c>
      <c r="J33"/>
    </row>
    <row r="34" spans="1:11">
      <c r="A34">
        <v>31</v>
      </c>
      <c r="B34">
        <v>0.08</v>
      </c>
      <c r="C34">
        <v>12.8</v>
      </c>
      <c r="D34">
        <v>0</v>
      </c>
      <c r="E34">
        <v>0</v>
      </c>
      <c r="F34">
        <f>100-B34-C34-D34-E34</f>
        <v>87.12</v>
      </c>
      <c r="G34">
        <v>1264</v>
      </c>
      <c r="H34">
        <v>16.5</v>
      </c>
      <c r="I34">
        <v>20.100000000000001</v>
      </c>
      <c r="J34" t="s">
        <v>24</v>
      </c>
      <c r="K34" t="s">
        <v>25</v>
      </c>
    </row>
    <row r="35" spans="1:11">
      <c r="A35">
        <v>32</v>
      </c>
      <c r="G35">
        <v>1329</v>
      </c>
      <c r="H35">
        <v>29.7</v>
      </c>
      <c r="I35">
        <v>29.7</v>
      </c>
      <c r="J35"/>
    </row>
    <row r="36" spans="1:11">
      <c r="A36">
        <v>33</v>
      </c>
      <c r="G36">
        <v>1342</v>
      </c>
      <c r="H36">
        <v>24.5</v>
      </c>
      <c r="I36">
        <v>26.4</v>
      </c>
      <c r="J36"/>
    </row>
    <row r="37" spans="1:11">
      <c r="A37">
        <v>34</v>
      </c>
      <c r="G37">
        <v>1408</v>
      </c>
      <c r="H37">
        <v>23.1</v>
      </c>
      <c r="I37">
        <v>24.4</v>
      </c>
      <c r="J37"/>
    </row>
    <row r="38" spans="1:11">
      <c r="A38">
        <v>35</v>
      </c>
      <c r="B38">
        <v>0.15</v>
      </c>
      <c r="C38">
        <v>6</v>
      </c>
      <c r="D38">
        <v>1</v>
      </c>
      <c r="E38">
        <v>1.5</v>
      </c>
      <c r="F38">
        <f>100-B38-C38-D38-E38</f>
        <v>91.35</v>
      </c>
      <c r="G38">
        <v>950.2</v>
      </c>
      <c r="H38">
        <v>14.9</v>
      </c>
      <c r="I38">
        <v>24.1</v>
      </c>
      <c r="J38" t="s">
        <v>355</v>
      </c>
      <c r="K38" t="s">
        <v>112</v>
      </c>
    </row>
    <row r="39" spans="1:11">
      <c r="A39">
        <v>36</v>
      </c>
      <c r="G39">
        <v>1031.5999999999999</v>
      </c>
      <c r="H39">
        <v>39.6</v>
      </c>
      <c r="I39">
        <v>43.9</v>
      </c>
      <c r="J39"/>
    </row>
    <row r="40" spans="1:11">
      <c r="A40">
        <v>37</v>
      </c>
      <c r="G40">
        <v>1201.5</v>
      </c>
      <c r="H40">
        <v>32.1</v>
      </c>
      <c r="I40">
        <v>34.700000000000003</v>
      </c>
      <c r="J40"/>
    </row>
    <row r="41" spans="1:11">
      <c r="A41">
        <v>38</v>
      </c>
      <c r="B41">
        <v>0.1</v>
      </c>
      <c r="C41">
        <v>5.18</v>
      </c>
      <c r="D41">
        <v>2.5999999999999999E-2</v>
      </c>
      <c r="E41">
        <v>0.12</v>
      </c>
      <c r="F41">
        <f>100-B41-C41-D41-E41</f>
        <v>94.573999999999998</v>
      </c>
      <c r="G41">
        <v>597</v>
      </c>
      <c r="H41">
        <v>23.5</v>
      </c>
      <c r="I41">
        <v>32.9</v>
      </c>
      <c r="J41" t="s">
        <v>356</v>
      </c>
      <c r="K41" t="s">
        <v>26</v>
      </c>
    </row>
    <row r="42" spans="1:11">
      <c r="A42">
        <v>39</v>
      </c>
      <c r="G42">
        <v>624</v>
      </c>
      <c r="H42">
        <v>38.5</v>
      </c>
      <c r="I42">
        <v>41.6</v>
      </c>
      <c r="J42"/>
    </row>
    <row r="43" spans="1:11">
      <c r="A43">
        <v>40</v>
      </c>
      <c r="G43">
        <v>651</v>
      </c>
      <c r="H43">
        <v>17.5</v>
      </c>
      <c r="I43">
        <v>20</v>
      </c>
      <c r="J43"/>
    </row>
    <row r="44" spans="1:11">
      <c r="A44">
        <v>41</v>
      </c>
      <c r="G44">
        <v>846</v>
      </c>
      <c r="H44">
        <v>12.5</v>
      </c>
      <c r="I44">
        <v>12.7</v>
      </c>
      <c r="J44"/>
    </row>
    <row r="45" spans="1:11">
      <c r="A45">
        <v>42</v>
      </c>
      <c r="G45">
        <v>1028</v>
      </c>
      <c r="H45">
        <v>6.8</v>
      </c>
      <c r="I45">
        <v>7.3</v>
      </c>
      <c r="J45"/>
    </row>
    <row r="46" spans="1:11">
      <c r="A46">
        <v>43</v>
      </c>
      <c r="B46">
        <v>9.5000000000000001E-2</v>
      </c>
      <c r="C46">
        <v>5.8</v>
      </c>
      <c r="D46">
        <v>2.8000000000000001E-2</v>
      </c>
      <c r="E46">
        <v>0.13</v>
      </c>
      <c r="F46">
        <f>100-B46-C46-D46-E46</f>
        <v>93.947000000000003</v>
      </c>
      <c r="G46">
        <v>708</v>
      </c>
      <c r="H46">
        <v>17</v>
      </c>
      <c r="I46">
        <v>27.5</v>
      </c>
      <c r="J46"/>
    </row>
    <row r="47" spans="1:11">
      <c r="A47">
        <v>44</v>
      </c>
      <c r="G47">
        <v>736</v>
      </c>
      <c r="H47">
        <v>38.4</v>
      </c>
      <c r="I47">
        <v>42.8</v>
      </c>
      <c r="J47"/>
    </row>
    <row r="48" spans="1:11">
      <c r="A48">
        <v>45</v>
      </c>
      <c r="G48">
        <v>748</v>
      </c>
      <c r="H48">
        <v>14.3</v>
      </c>
      <c r="I48">
        <v>15.4</v>
      </c>
      <c r="J48"/>
    </row>
    <row r="49" spans="1:11">
      <c r="A49">
        <v>46</v>
      </c>
      <c r="G49">
        <v>949</v>
      </c>
      <c r="H49">
        <v>15.7</v>
      </c>
      <c r="I49">
        <v>16.8</v>
      </c>
      <c r="J49"/>
    </row>
    <row r="50" spans="1:11">
      <c r="A50">
        <v>47</v>
      </c>
      <c r="G50">
        <v>1181</v>
      </c>
      <c r="H50">
        <v>8.1</v>
      </c>
      <c r="I50">
        <v>8.1999999999999993</v>
      </c>
      <c r="J50"/>
    </row>
    <row r="51" spans="1:11">
      <c r="A51">
        <v>48</v>
      </c>
      <c r="B51">
        <v>9.9000000000000005E-2</v>
      </c>
      <c r="C51">
        <v>7.09</v>
      </c>
      <c r="D51">
        <v>3.1E-2</v>
      </c>
      <c r="E51">
        <v>0.13</v>
      </c>
      <c r="F51">
        <f>100-B51-C51-D51-E51</f>
        <v>92.649999999999991</v>
      </c>
      <c r="G51">
        <v>801</v>
      </c>
      <c r="H51">
        <v>17.5</v>
      </c>
      <c r="I51">
        <v>28.6</v>
      </c>
      <c r="J51"/>
    </row>
    <row r="52" spans="1:11">
      <c r="A52">
        <v>49</v>
      </c>
      <c r="G52">
        <v>874</v>
      </c>
      <c r="H52">
        <v>29.8</v>
      </c>
      <c r="I52">
        <v>35.9</v>
      </c>
      <c r="J52"/>
    </row>
    <row r="53" spans="1:11">
      <c r="A53">
        <v>50</v>
      </c>
      <c r="G53">
        <v>1016</v>
      </c>
      <c r="H53">
        <v>17.2</v>
      </c>
      <c r="I53">
        <v>18.100000000000001</v>
      </c>
      <c r="J53"/>
    </row>
    <row r="54" spans="1:11">
      <c r="A54">
        <v>51</v>
      </c>
      <c r="G54">
        <v>1198</v>
      </c>
      <c r="H54">
        <v>16.8</v>
      </c>
      <c r="I54">
        <v>17.5</v>
      </c>
      <c r="J54"/>
    </row>
    <row r="55" spans="1:11">
      <c r="A55">
        <v>52</v>
      </c>
      <c r="G55">
        <v>1368</v>
      </c>
      <c r="H55">
        <v>8.1</v>
      </c>
      <c r="I55">
        <v>8.6</v>
      </c>
      <c r="J55"/>
    </row>
    <row r="56" spans="1:11">
      <c r="A56">
        <v>53</v>
      </c>
      <c r="B56">
        <v>0.14299999999999999</v>
      </c>
      <c r="C56">
        <v>7.39</v>
      </c>
      <c r="D56">
        <v>1.55</v>
      </c>
      <c r="E56">
        <v>0.2</v>
      </c>
      <c r="F56">
        <f>100-B56-C56-D56-E56</f>
        <v>90.716999999999999</v>
      </c>
      <c r="G56">
        <v>831</v>
      </c>
      <c r="H56">
        <v>44.5</v>
      </c>
      <c r="I56">
        <v>48.6</v>
      </c>
      <c r="J56"/>
    </row>
    <row r="57" spans="1:11">
      <c r="A57">
        <v>54</v>
      </c>
      <c r="G57">
        <v>1080</v>
      </c>
      <c r="H57">
        <v>15.4</v>
      </c>
      <c r="I57">
        <v>20.3</v>
      </c>
      <c r="J57"/>
    </row>
    <row r="58" spans="1:11">
      <c r="A58">
        <v>55</v>
      </c>
      <c r="B58">
        <v>0.14299999999999999</v>
      </c>
      <c r="C58">
        <v>10.07</v>
      </c>
      <c r="D58">
        <v>1.68</v>
      </c>
      <c r="E58">
        <v>0.2</v>
      </c>
      <c r="F58">
        <f>100-B58-C58-D58-E58</f>
        <v>87.906999999999996</v>
      </c>
      <c r="G58">
        <v>1088</v>
      </c>
      <c r="H58">
        <v>44.8</v>
      </c>
      <c r="I58">
        <v>45.9</v>
      </c>
      <c r="J58"/>
    </row>
    <row r="59" spans="1:11" ht="13.5" customHeight="1">
      <c r="A59">
        <v>56</v>
      </c>
      <c r="B59">
        <v>0.14000000000000001</v>
      </c>
      <c r="C59">
        <v>7.14</v>
      </c>
      <c r="D59">
        <v>5.6000000000000001E-2</v>
      </c>
      <c r="E59">
        <v>0.23</v>
      </c>
      <c r="F59">
        <f>100-B59-C59-D59-E59</f>
        <v>92.433999999999997</v>
      </c>
      <c r="G59">
        <v>1044.0999999999999</v>
      </c>
      <c r="H59">
        <v>33.200000000000003</v>
      </c>
      <c r="I59">
        <v>35.799999999999997</v>
      </c>
      <c r="J59" t="s">
        <v>120</v>
      </c>
      <c r="K59" t="s">
        <v>63</v>
      </c>
    </row>
    <row r="60" spans="1:11">
      <c r="A60">
        <v>57</v>
      </c>
      <c r="G60">
        <v>1166.3</v>
      </c>
      <c r="H60">
        <v>23.5</v>
      </c>
      <c r="I60">
        <v>26.5</v>
      </c>
      <c r="J60"/>
    </row>
    <row r="61" spans="1:11">
      <c r="A61">
        <v>58</v>
      </c>
      <c r="G61">
        <v>1029.7</v>
      </c>
      <c r="H61">
        <v>34.799999999999997</v>
      </c>
      <c r="I61">
        <v>39</v>
      </c>
      <c r="J61"/>
    </row>
    <row r="62" spans="1:11">
      <c r="A62">
        <v>59</v>
      </c>
      <c r="G62">
        <v>1051.5999999999999</v>
      </c>
      <c r="H62">
        <v>34.799999999999997</v>
      </c>
      <c r="I62">
        <v>39.1</v>
      </c>
      <c r="J62"/>
    </row>
    <row r="63" spans="1:11">
      <c r="A63">
        <v>60</v>
      </c>
      <c r="G63">
        <v>1095.5</v>
      </c>
      <c r="H63">
        <v>31.7</v>
      </c>
      <c r="I63">
        <v>35.5</v>
      </c>
      <c r="J63"/>
    </row>
    <row r="64" spans="1:11">
      <c r="A64">
        <v>61</v>
      </c>
      <c r="G64">
        <v>1289.5</v>
      </c>
      <c r="H64">
        <v>23.5</v>
      </c>
      <c r="I64">
        <v>23.9</v>
      </c>
      <c r="J64"/>
    </row>
    <row r="65" spans="1:11">
      <c r="A65">
        <v>62</v>
      </c>
      <c r="G65">
        <v>1442.9</v>
      </c>
      <c r="H65">
        <v>14.6</v>
      </c>
      <c r="I65">
        <v>14.7</v>
      </c>
      <c r="J65"/>
    </row>
    <row r="66" spans="1:11">
      <c r="A66">
        <v>63</v>
      </c>
      <c r="G66">
        <v>1705.8</v>
      </c>
      <c r="H66">
        <v>14.7</v>
      </c>
      <c r="I66">
        <v>16.899999999999999</v>
      </c>
      <c r="J66"/>
    </row>
    <row r="67" spans="1:11">
      <c r="A67">
        <v>64</v>
      </c>
      <c r="G67">
        <v>1721.4</v>
      </c>
      <c r="H67">
        <v>12.5</v>
      </c>
      <c r="I67">
        <v>13.9</v>
      </c>
      <c r="J67"/>
    </row>
    <row r="68" spans="1:11">
      <c r="A68">
        <v>65</v>
      </c>
      <c r="G68">
        <v>1067.5999999999999</v>
      </c>
      <c r="H68">
        <v>37.200000000000003</v>
      </c>
      <c r="I68">
        <v>40.1</v>
      </c>
      <c r="J68"/>
    </row>
    <row r="69" spans="1:11">
      <c r="A69">
        <v>66</v>
      </c>
      <c r="G69">
        <v>1092.0999999999999</v>
      </c>
      <c r="H69">
        <v>32.9</v>
      </c>
      <c r="I69">
        <v>36.1</v>
      </c>
      <c r="J69"/>
    </row>
    <row r="70" spans="1:11">
      <c r="A70">
        <v>67</v>
      </c>
      <c r="G70">
        <v>1225.9000000000001</v>
      </c>
      <c r="H70">
        <v>22.2</v>
      </c>
      <c r="I70">
        <v>22.4</v>
      </c>
      <c r="J70"/>
    </row>
    <row r="71" spans="1:11">
      <c r="A71">
        <v>68</v>
      </c>
      <c r="G71">
        <v>1473.9</v>
      </c>
      <c r="H71">
        <v>17.399999999999999</v>
      </c>
      <c r="I71">
        <v>17.3</v>
      </c>
      <c r="J71"/>
    </row>
    <row r="72" spans="1:11">
      <c r="A72">
        <v>69</v>
      </c>
      <c r="G72">
        <v>1063.8</v>
      </c>
      <c r="H72">
        <v>33.799999999999997</v>
      </c>
      <c r="I72">
        <v>36.700000000000003</v>
      </c>
      <c r="J72"/>
    </row>
    <row r="73" spans="1:11">
      <c r="A73">
        <v>70</v>
      </c>
      <c r="G73">
        <v>1126</v>
      </c>
      <c r="H73">
        <v>28.7</v>
      </c>
      <c r="I73">
        <v>32.9</v>
      </c>
      <c r="J73"/>
    </row>
    <row r="74" spans="1:11">
      <c r="A74">
        <v>71</v>
      </c>
      <c r="G74">
        <v>1337.5</v>
      </c>
      <c r="H74">
        <v>17.899999999999999</v>
      </c>
      <c r="I74">
        <v>17.8</v>
      </c>
      <c r="J74"/>
    </row>
    <row r="75" spans="1:11">
      <c r="A75">
        <v>72</v>
      </c>
      <c r="G75">
        <v>1533.4</v>
      </c>
      <c r="H75">
        <v>10.4</v>
      </c>
      <c r="I75">
        <v>10.4</v>
      </c>
      <c r="J75"/>
    </row>
    <row r="76" spans="1:11">
      <c r="A76">
        <v>73</v>
      </c>
      <c r="B76">
        <v>0.19</v>
      </c>
      <c r="C76">
        <v>4.3899999999999997</v>
      </c>
      <c r="D76">
        <v>0.01</v>
      </c>
      <c r="E76">
        <v>0</v>
      </c>
      <c r="F76">
        <f>100-B76-C76-D76-E76</f>
        <v>95.41</v>
      </c>
      <c r="G76">
        <v>950</v>
      </c>
      <c r="H76">
        <v>2.5</v>
      </c>
      <c r="I76">
        <v>4.5</v>
      </c>
      <c r="J76" t="s">
        <v>357</v>
      </c>
      <c r="K76" t="s">
        <v>27</v>
      </c>
    </row>
    <row r="77" spans="1:11">
      <c r="A77">
        <v>74</v>
      </c>
      <c r="G77">
        <v>895</v>
      </c>
      <c r="H77">
        <v>2</v>
      </c>
      <c r="I77">
        <v>4.4000000000000004</v>
      </c>
      <c r="J77"/>
    </row>
    <row r="78" spans="1:11">
      <c r="A78">
        <v>75</v>
      </c>
      <c r="G78">
        <v>781</v>
      </c>
      <c r="H78">
        <v>7.3</v>
      </c>
      <c r="I78">
        <v>12.4</v>
      </c>
      <c r="J78"/>
    </row>
    <row r="79" spans="1:11">
      <c r="A79">
        <v>76</v>
      </c>
      <c r="G79">
        <v>737</v>
      </c>
      <c r="H79">
        <v>12.3</v>
      </c>
      <c r="I79">
        <v>15.7</v>
      </c>
      <c r="J79"/>
    </row>
    <row r="80" spans="1:11">
      <c r="A80">
        <v>77</v>
      </c>
      <c r="G80">
        <v>733</v>
      </c>
      <c r="H80">
        <v>35.299999999999997</v>
      </c>
      <c r="I80">
        <v>38.799999999999997</v>
      </c>
      <c r="J80"/>
    </row>
    <row r="81" spans="1:10">
      <c r="A81">
        <v>78</v>
      </c>
      <c r="G81">
        <v>957</v>
      </c>
      <c r="H81">
        <v>30.8</v>
      </c>
      <c r="I81">
        <v>32.6</v>
      </c>
      <c r="J81"/>
    </row>
    <row r="82" spans="1:10">
      <c r="A82">
        <v>79</v>
      </c>
      <c r="G82">
        <v>1353</v>
      </c>
      <c r="H82">
        <v>8.4</v>
      </c>
      <c r="I82">
        <v>8.4</v>
      </c>
      <c r="J82"/>
    </row>
    <row r="83" spans="1:10">
      <c r="A83">
        <v>80</v>
      </c>
      <c r="G83">
        <v>1601</v>
      </c>
      <c r="H83">
        <v>6.5</v>
      </c>
      <c r="I83">
        <v>6.3</v>
      </c>
      <c r="J83"/>
    </row>
    <row r="84" spans="1:10">
      <c r="A84">
        <v>81</v>
      </c>
      <c r="B84">
        <v>0.189</v>
      </c>
      <c r="C84">
        <v>4.45</v>
      </c>
      <c r="D84">
        <v>0.48</v>
      </c>
      <c r="E84">
        <v>0</v>
      </c>
      <c r="F84">
        <f>100-B84-C84-D84-E84</f>
        <v>94.881</v>
      </c>
      <c r="G84">
        <v>889</v>
      </c>
      <c r="H84">
        <v>2.6</v>
      </c>
      <c r="I84">
        <v>4.7</v>
      </c>
      <c r="J84"/>
    </row>
    <row r="85" spans="1:10">
      <c r="A85">
        <v>82</v>
      </c>
      <c r="G85">
        <v>862</v>
      </c>
      <c r="H85">
        <v>2.7</v>
      </c>
      <c r="I85">
        <v>8</v>
      </c>
      <c r="J85"/>
    </row>
    <row r="86" spans="1:10">
      <c r="A86">
        <v>83</v>
      </c>
      <c r="G86">
        <v>781</v>
      </c>
      <c r="H86">
        <v>11.4</v>
      </c>
      <c r="I86">
        <v>14.8</v>
      </c>
      <c r="J86"/>
    </row>
    <row r="87" spans="1:10">
      <c r="A87">
        <v>84</v>
      </c>
      <c r="G87">
        <v>737</v>
      </c>
      <c r="H87">
        <v>13.1</v>
      </c>
      <c r="I87">
        <v>17.600000000000001</v>
      </c>
      <c r="J87"/>
    </row>
    <row r="88" spans="1:10">
      <c r="A88">
        <v>85</v>
      </c>
      <c r="G88">
        <v>726</v>
      </c>
      <c r="H88">
        <v>18.399999999999999</v>
      </c>
      <c r="I88">
        <v>24.7</v>
      </c>
      <c r="J88"/>
    </row>
    <row r="89" spans="1:10">
      <c r="A89">
        <v>86</v>
      </c>
      <c r="G89">
        <v>855</v>
      </c>
      <c r="H89">
        <v>34.200000000000003</v>
      </c>
      <c r="I89">
        <v>36.6</v>
      </c>
      <c r="J89"/>
    </row>
    <row r="90" spans="1:10">
      <c r="A90">
        <v>87</v>
      </c>
      <c r="G90">
        <v>1322</v>
      </c>
      <c r="H90">
        <v>12.6</v>
      </c>
      <c r="I90">
        <v>13.7</v>
      </c>
      <c r="J90"/>
    </row>
    <row r="91" spans="1:10">
      <c r="A91">
        <v>88</v>
      </c>
      <c r="G91">
        <v>1477</v>
      </c>
      <c r="H91">
        <v>9.3000000000000007</v>
      </c>
      <c r="I91">
        <v>10.1</v>
      </c>
      <c r="J91"/>
    </row>
    <row r="92" spans="1:10">
      <c r="A92">
        <v>89</v>
      </c>
      <c r="B92">
        <v>0.19500000000000001</v>
      </c>
      <c r="C92">
        <v>4.5199999999999996</v>
      </c>
      <c r="D92">
        <v>1.3</v>
      </c>
      <c r="E92">
        <v>0</v>
      </c>
      <c r="F92">
        <f>100-B92-C92-D92-E92</f>
        <v>93.985000000000014</v>
      </c>
      <c r="G92">
        <v>911</v>
      </c>
      <c r="H92">
        <v>5.6</v>
      </c>
      <c r="I92">
        <v>8.4</v>
      </c>
      <c r="J92"/>
    </row>
    <row r="93" spans="1:10">
      <c r="A93">
        <v>90</v>
      </c>
      <c r="G93">
        <v>849</v>
      </c>
      <c r="H93">
        <v>9.5</v>
      </c>
      <c r="I93">
        <v>13</v>
      </c>
      <c r="J93"/>
    </row>
    <row r="94" spans="1:10">
      <c r="A94">
        <v>91</v>
      </c>
      <c r="G94">
        <v>753</v>
      </c>
      <c r="H94">
        <v>10.5</v>
      </c>
      <c r="I94">
        <v>14.7</v>
      </c>
      <c r="J94"/>
    </row>
    <row r="95" spans="1:10">
      <c r="A95">
        <v>92</v>
      </c>
      <c r="G95">
        <v>711</v>
      </c>
      <c r="H95">
        <v>11.8</v>
      </c>
      <c r="I95">
        <v>16.399999999999999</v>
      </c>
      <c r="J95"/>
    </row>
    <row r="96" spans="1:10">
      <c r="A96">
        <v>93</v>
      </c>
      <c r="G96">
        <v>683</v>
      </c>
      <c r="H96">
        <v>16.8</v>
      </c>
      <c r="I96">
        <v>21.4</v>
      </c>
      <c r="J96"/>
    </row>
    <row r="97" spans="1:11">
      <c r="A97">
        <v>94</v>
      </c>
      <c r="G97">
        <v>702</v>
      </c>
      <c r="H97">
        <v>19.899999999999999</v>
      </c>
      <c r="I97">
        <v>27.6</v>
      </c>
      <c r="J97"/>
    </row>
    <row r="98" spans="1:11">
      <c r="A98">
        <v>95</v>
      </c>
      <c r="G98">
        <v>977</v>
      </c>
      <c r="H98">
        <v>25.7</v>
      </c>
      <c r="I98">
        <v>28.7</v>
      </c>
      <c r="J98"/>
    </row>
    <row r="99" spans="1:11">
      <c r="A99">
        <v>96</v>
      </c>
      <c r="G99">
        <v>1226</v>
      </c>
      <c r="H99">
        <v>14.2</v>
      </c>
      <c r="I99">
        <v>15.2</v>
      </c>
      <c r="J99"/>
    </row>
    <row r="100" spans="1:11">
      <c r="A100">
        <v>97</v>
      </c>
      <c r="B100">
        <v>0.1</v>
      </c>
      <c r="C100">
        <v>4.5</v>
      </c>
      <c r="D100">
        <v>0</v>
      </c>
      <c r="E100">
        <v>0</v>
      </c>
      <c r="F100">
        <f>100-B100-C100-D100-E100</f>
        <v>95.4</v>
      </c>
      <c r="G100">
        <v>844</v>
      </c>
      <c r="H100">
        <v>1</v>
      </c>
      <c r="I100">
        <v>2.6</v>
      </c>
      <c r="J100" t="s">
        <v>358</v>
      </c>
      <c r="K100" t="s">
        <v>37</v>
      </c>
    </row>
    <row r="101" spans="1:11">
      <c r="A101">
        <v>98</v>
      </c>
      <c r="G101">
        <v>795</v>
      </c>
      <c r="H101">
        <v>2.7</v>
      </c>
      <c r="I101">
        <v>7.8</v>
      </c>
      <c r="J101"/>
    </row>
    <row r="102" spans="1:11">
      <c r="A102">
        <v>99</v>
      </c>
      <c r="G102">
        <v>730</v>
      </c>
      <c r="H102">
        <v>10.199999999999999</v>
      </c>
      <c r="I102">
        <v>14.5</v>
      </c>
      <c r="J102"/>
    </row>
    <row r="103" spans="1:11">
      <c r="A103">
        <v>100</v>
      </c>
      <c r="G103">
        <v>710</v>
      </c>
      <c r="H103">
        <v>11.8</v>
      </c>
      <c r="I103">
        <v>15.8</v>
      </c>
      <c r="J103"/>
    </row>
    <row r="104" spans="1:11">
      <c r="A104">
        <v>101</v>
      </c>
      <c r="G104">
        <v>759</v>
      </c>
      <c r="H104">
        <v>32.299999999999997</v>
      </c>
      <c r="I104">
        <v>35.1</v>
      </c>
      <c r="J104"/>
    </row>
    <row r="105" spans="1:11">
      <c r="A105">
        <v>102</v>
      </c>
      <c r="G105">
        <v>900</v>
      </c>
      <c r="H105">
        <v>16.2</v>
      </c>
      <c r="I105">
        <v>17.399999999999999</v>
      </c>
      <c r="J105"/>
    </row>
    <row r="106" spans="1:11">
      <c r="A106">
        <v>103</v>
      </c>
      <c r="G106">
        <v>1096</v>
      </c>
      <c r="H106">
        <v>9.8000000000000007</v>
      </c>
      <c r="I106">
        <v>10.1</v>
      </c>
      <c r="J106"/>
    </row>
    <row r="107" spans="1:11">
      <c r="A107">
        <v>104</v>
      </c>
      <c r="G107">
        <v>1253</v>
      </c>
      <c r="H107">
        <v>7.8</v>
      </c>
      <c r="I107">
        <v>9.6</v>
      </c>
      <c r="J107"/>
    </row>
    <row r="108" spans="1:11">
      <c r="A108">
        <v>105</v>
      </c>
      <c r="B108">
        <v>0.14000000000000001</v>
      </c>
      <c r="C108">
        <v>7.39</v>
      </c>
      <c r="D108">
        <v>1.55</v>
      </c>
      <c r="E108">
        <v>0.2</v>
      </c>
      <c r="F108">
        <f>100-B108-C108-D108-E108</f>
        <v>90.72</v>
      </c>
      <c r="G108">
        <v>930</v>
      </c>
      <c r="H108">
        <v>14.3</v>
      </c>
      <c r="I108">
        <v>22</v>
      </c>
      <c r="J108" t="s">
        <v>126</v>
      </c>
      <c r="K108" t="s">
        <v>89</v>
      </c>
    </row>
    <row r="109" spans="1:11">
      <c r="A109">
        <v>106</v>
      </c>
      <c r="G109">
        <v>919</v>
      </c>
      <c r="H109">
        <v>10.199999999999999</v>
      </c>
      <c r="I109">
        <v>19</v>
      </c>
      <c r="J109"/>
    </row>
    <row r="110" spans="1:11">
      <c r="A110">
        <v>107</v>
      </c>
      <c r="G110">
        <v>1120</v>
      </c>
      <c r="H110">
        <v>35.4</v>
      </c>
      <c r="I110">
        <v>37.6</v>
      </c>
      <c r="J110"/>
    </row>
    <row r="111" spans="1:11">
      <c r="A111">
        <v>108</v>
      </c>
      <c r="B111">
        <v>0.09</v>
      </c>
      <c r="C111">
        <v>13.9</v>
      </c>
      <c r="D111">
        <v>2.0099999999999998</v>
      </c>
      <c r="E111">
        <v>2.0699999999999998</v>
      </c>
      <c r="F111">
        <f>100-B111-C111-D111-E111</f>
        <v>81.929999999999993</v>
      </c>
      <c r="G111">
        <v>1060</v>
      </c>
      <c r="H111">
        <v>39.6</v>
      </c>
      <c r="I111">
        <v>42.6</v>
      </c>
      <c r="J111" t="s">
        <v>35</v>
      </c>
      <c r="K111" t="s">
        <v>36</v>
      </c>
    </row>
    <row r="112" spans="1:11">
      <c r="A112">
        <v>109</v>
      </c>
      <c r="B112">
        <v>0.27</v>
      </c>
      <c r="C112">
        <v>11.1</v>
      </c>
      <c r="D112">
        <v>1.49</v>
      </c>
      <c r="E112">
        <v>1.37</v>
      </c>
      <c r="F112">
        <f t="shared" ref="F112:F118" si="0">100-B112-C112-D112-E112</f>
        <v>85.77000000000001</v>
      </c>
      <c r="G112">
        <v>1330</v>
      </c>
      <c r="H112">
        <v>23.3</v>
      </c>
      <c r="I112">
        <v>26.5</v>
      </c>
      <c r="J112"/>
    </row>
    <row r="113" spans="1:11">
      <c r="A113">
        <v>110</v>
      </c>
      <c r="B113">
        <v>0.08</v>
      </c>
      <c r="C113">
        <v>15.1</v>
      </c>
      <c r="D113">
        <v>1.4</v>
      </c>
      <c r="E113">
        <v>1.95</v>
      </c>
      <c r="F113">
        <f t="shared" si="0"/>
        <v>81.47</v>
      </c>
      <c r="G113">
        <v>1160</v>
      </c>
      <c r="H113">
        <v>39.6</v>
      </c>
      <c r="I113">
        <v>41.3</v>
      </c>
      <c r="J113"/>
    </row>
    <row r="114" spans="1:11">
      <c r="A114">
        <v>111</v>
      </c>
      <c r="B114">
        <v>0.16</v>
      </c>
      <c r="C114">
        <v>14.3</v>
      </c>
      <c r="D114">
        <v>0.89</v>
      </c>
      <c r="E114">
        <v>2.97</v>
      </c>
      <c r="F114">
        <f t="shared" si="0"/>
        <v>81.680000000000007</v>
      </c>
      <c r="G114">
        <v>1370</v>
      </c>
      <c r="H114">
        <v>33.5</v>
      </c>
      <c r="I114">
        <v>33.700000000000003</v>
      </c>
      <c r="J114"/>
    </row>
    <row r="115" spans="1:11">
      <c r="A115">
        <v>112</v>
      </c>
      <c r="B115">
        <v>0.17</v>
      </c>
      <c r="C115">
        <v>10.199999999999999</v>
      </c>
      <c r="D115">
        <v>0.3</v>
      </c>
      <c r="E115">
        <v>2.38</v>
      </c>
      <c r="F115">
        <f t="shared" si="0"/>
        <v>86.95</v>
      </c>
      <c r="G115">
        <v>1400</v>
      </c>
      <c r="H115">
        <v>33.1</v>
      </c>
      <c r="I115">
        <v>34.1</v>
      </c>
      <c r="J115"/>
    </row>
    <row r="116" spans="1:11">
      <c r="A116">
        <v>113</v>
      </c>
      <c r="B116">
        <v>0.11</v>
      </c>
      <c r="C116">
        <v>11.5</v>
      </c>
      <c r="D116">
        <v>0.38</v>
      </c>
      <c r="E116">
        <v>2.46</v>
      </c>
      <c r="F116">
        <f t="shared" si="0"/>
        <v>85.550000000000011</v>
      </c>
      <c r="G116">
        <v>1300</v>
      </c>
      <c r="H116">
        <v>25.4</v>
      </c>
      <c r="I116">
        <v>27.5</v>
      </c>
      <c r="J116"/>
    </row>
    <row r="117" spans="1:11">
      <c r="A117">
        <v>114</v>
      </c>
      <c r="B117">
        <v>0.1</v>
      </c>
      <c r="C117">
        <v>13.8</v>
      </c>
      <c r="D117">
        <v>0.4</v>
      </c>
      <c r="E117">
        <v>2.0099999999999998</v>
      </c>
      <c r="F117">
        <f t="shared" si="0"/>
        <v>83.69</v>
      </c>
      <c r="G117">
        <v>1320</v>
      </c>
      <c r="H117">
        <v>24</v>
      </c>
      <c r="I117">
        <v>24.8</v>
      </c>
      <c r="J117"/>
    </row>
    <row r="118" spans="1:11">
      <c r="A118">
        <v>115</v>
      </c>
      <c r="B118">
        <v>0.1</v>
      </c>
      <c r="C118">
        <v>13</v>
      </c>
      <c r="D118">
        <v>0.45</v>
      </c>
      <c r="E118">
        <v>1.57</v>
      </c>
      <c r="F118">
        <f t="shared" si="0"/>
        <v>84.88000000000001</v>
      </c>
      <c r="G118">
        <v>1450</v>
      </c>
      <c r="H118">
        <v>27</v>
      </c>
      <c r="I118">
        <v>27.7</v>
      </c>
      <c r="J118"/>
    </row>
    <row r="119" spans="1:11">
      <c r="A119">
        <v>116</v>
      </c>
      <c r="B119">
        <v>0.11</v>
      </c>
      <c r="C119">
        <v>4.8600000000000003</v>
      </c>
      <c r="D119">
        <v>0</v>
      </c>
      <c r="E119">
        <v>0</v>
      </c>
      <c r="F119">
        <f>100-B119-C119-D119-E119</f>
        <v>95.03</v>
      </c>
      <c r="G119">
        <v>812</v>
      </c>
      <c r="H119">
        <v>9.5</v>
      </c>
      <c r="I119">
        <v>16.7</v>
      </c>
      <c r="J119" t="s">
        <v>359</v>
      </c>
      <c r="K119" t="s">
        <v>50</v>
      </c>
    </row>
    <row r="120" spans="1:11">
      <c r="A120">
        <v>117</v>
      </c>
      <c r="G120">
        <v>777</v>
      </c>
      <c r="H120">
        <v>16.399999999999999</v>
      </c>
      <c r="I120">
        <v>28.5</v>
      </c>
      <c r="J120"/>
    </row>
    <row r="121" spans="1:11">
      <c r="A121">
        <v>118</v>
      </c>
      <c r="G121">
        <v>857</v>
      </c>
      <c r="H121">
        <v>24.1</v>
      </c>
      <c r="I121">
        <v>29.8</v>
      </c>
      <c r="J121"/>
    </row>
    <row r="122" spans="1:11">
      <c r="A122">
        <v>119</v>
      </c>
      <c r="G122">
        <v>1027</v>
      </c>
      <c r="H122">
        <v>13.2</v>
      </c>
      <c r="I122">
        <v>19.3</v>
      </c>
      <c r="J122"/>
    </row>
    <row r="123" spans="1:11">
      <c r="A123">
        <v>120</v>
      </c>
      <c r="B123">
        <v>0.17</v>
      </c>
      <c r="C123">
        <v>4.72</v>
      </c>
      <c r="D123">
        <v>0</v>
      </c>
      <c r="E123">
        <v>0</v>
      </c>
      <c r="F123">
        <f>100-B123-C123-D123-E123</f>
        <v>95.11</v>
      </c>
      <c r="G123">
        <v>809</v>
      </c>
      <c r="H123">
        <v>16.399999999999999</v>
      </c>
      <c r="I123">
        <v>30.7</v>
      </c>
      <c r="J123"/>
    </row>
    <row r="124" spans="1:11">
      <c r="A124">
        <v>121</v>
      </c>
      <c r="G124">
        <v>917</v>
      </c>
      <c r="H124">
        <v>18.7</v>
      </c>
      <c r="I124">
        <v>31.2</v>
      </c>
      <c r="J124"/>
    </row>
    <row r="125" spans="1:11">
      <c r="A125">
        <v>122</v>
      </c>
      <c r="G125">
        <v>1101</v>
      </c>
      <c r="H125">
        <v>14.8</v>
      </c>
      <c r="I125">
        <v>21.7</v>
      </c>
      <c r="J125"/>
    </row>
    <row r="126" spans="1:11">
      <c r="A126">
        <v>123</v>
      </c>
      <c r="G126">
        <v>1326</v>
      </c>
      <c r="H126">
        <v>9.3000000000000007</v>
      </c>
      <c r="I126">
        <v>14.2</v>
      </c>
      <c r="J126"/>
    </row>
    <row r="127" spans="1:11">
      <c r="A127">
        <v>124</v>
      </c>
      <c r="B127">
        <v>0.25</v>
      </c>
      <c r="C127">
        <v>7.17</v>
      </c>
      <c r="D127">
        <v>2.6</v>
      </c>
      <c r="E127">
        <v>0</v>
      </c>
      <c r="F127">
        <f>100-B127-C127-D127-E127</f>
        <v>89.98</v>
      </c>
      <c r="G127">
        <v>873</v>
      </c>
      <c r="H127">
        <v>18.399999999999999</v>
      </c>
      <c r="I127">
        <v>25.3</v>
      </c>
      <c r="J127" t="s">
        <v>360</v>
      </c>
      <c r="K127" t="s">
        <v>32</v>
      </c>
    </row>
    <row r="128" spans="1:11">
      <c r="A128">
        <v>125</v>
      </c>
      <c r="G128">
        <v>889</v>
      </c>
      <c r="H128">
        <v>22.7</v>
      </c>
      <c r="I128">
        <v>30</v>
      </c>
      <c r="J128"/>
    </row>
    <row r="129" spans="1:11">
      <c r="A129">
        <v>126</v>
      </c>
      <c r="G129">
        <v>884</v>
      </c>
      <c r="H129">
        <v>27.2</v>
      </c>
      <c r="I129">
        <v>34</v>
      </c>
      <c r="J129"/>
    </row>
    <row r="130" spans="1:11">
      <c r="A130">
        <v>127</v>
      </c>
      <c r="G130">
        <v>942</v>
      </c>
      <c r="H130">
        <v>59.9</v>
      </c>
      <c r="I130">
        <v>63</v>
      </c>
      <c r="J130"/>
    </row>
    <row r="131" spans="1:11">
      <c r="A131">
        <v>128</v>
      </c>
      <c r="B131">
        <v>0.25</v>
      </c>
      <c r="C131">
        <v>7.17</v>
      </c>
      <c r="D131">
        <v>2.6</v>
      </c>
      <c r="E131">
        <v>0</v>
      </c>
      <c r="F131">
        <f>100-B131-C131-D131-E131</f>
        <v>89.98</v>
      </c>
      <c r="G131">
        <v>910</v>
      </c>
      <c r="H131">
        <v>49.7</v>
      </c>
      <c r="I131">
        <v>42.1</v>
      </c>
      <c r="J131" t="s">
        <v>360</v>
      </c>
      <c r="K131" t="s">
        <v>111</v>
      </c>
    </row>
    <row r="132" spans="1:11">
      <c r="A132">
        <v>129</v>
      </c>
      <c r="B132">
        <v>0.16</v>
      </c>
      <c r="C132">
        <v>3.95</v>
      </c>
      <c r="D132">
        <v>0</v>
      </c>
      <c r="E132">
        <v>0.5</v>
      </c>
      <c r="F132">
        <f>100-B132-C132-D132-E132</f>
        <v>95.39</v>
      </c>
      <c r="G132">
        <v>1105</v>
      </c>
      <c r="H132">
        <v>0.6</v>
      </c>
      <c r="I132">
        <v>1.1000000000000001</v>
      </c>
      <c r="J132" t="s">
        <v>30</v>
      </c>
      <c r="K132" t="s">
        <v>31</v>
      </c>
    </row>
    <row r="133" spans="1:11">
      <c r="A133">
        <v>130</v>
      </c>
      <c r="G133">
        <v>1094</v>
      </c>
      <c r="H133">
        <v>14.2</v>
      </c>
      <c r="I133">
        <v>15.9</v>
      </c>
      <c r="J133"/>
    </row>
    <row r="134" spans="1:11">
      <c r="A134">
        <v>131</v>
      </c>
      <c r="G134">
        <v>1084</v>
      </c>
      <c r="H134">
        <v>17.3</v>
      </c>
      <c r="I134">
        <v>19.100000000000001</v>
      </c>
      <c r="J134"/>
    </row>
    <row r="135" spans="1:11">
      <c r="A135">
        <v>132</v>
      </c>
      <c r="G135">
        <v>1187</v>
      </c>
      <c r="H135">
        <v>15.1</v>
      </c>
      <c r="I135">
        <v>15.9</v>
      </c>
      <c r="J135"/>
    </row>
    <row r="136" spans="1:11">
      <c r="A136">
        <v>133</v>
      </c>
      <c r="G136">
        <v>1465</v>
      </c>
      <c r="H136">
        <v>8.6</v>
      </c>
      <c r="I136">
        <v>8.8000000000000007</v>
      </c>
      <c r="J136"/>
    </row>
    <row r="137" spans="1:11">
      <c r="A137">
        <v>134</v>
      </c>
      <c r="G137">
        <v>1726</v>
      </c>
      <c r="H137">
        <v>5</v>
      </c>
      <c r="I137">
        <v>5.0999999999999996</v>
      </c>
      <c r="J137"/>
    </row>
    <row r="138" spans="1:11">
      <c r="A138">
        <v>135</v>
      </c>
      <c r="G138">
        <v>1694</v>
      </c>
      <c r="H138">
        <v>4.5</v>
      </c>
      <c r="I138">
        <v>6.2</v>
      </c>
      <c r="J138"/>
    </row>
    <row r="139" spans="1:11">
      <c r="A139">
        <v>136</v>
      </c>
      <c r="G139">
        <v>1046</v>
      </c>
      <c r="H139">
        <v>17.8</v>
      </c>
      <c r="I139">
        <v>22</v>
      </c>
      <c r="J139"/>
    </row>
    <row r="140" spans="1:11">
      <c r="A140">
        <v>137</v>
      </c>
      <c r="G140">
        <v>972.8</v>
      </c>
      <c r="H140">
        <v>21.6</v>
      </c>
      <c r="I140">
        <v>24.7</v>
      </c>
      <c r="J140"/>
    </row>
    <row r="141" spans="1:11">
      <c r="A141">
        <v>138</v>
      </c>
      <c r="G141">
        <v>1031</v>
      </c>
      <c r="H141">
        <v>20.2</v>
      </c>
      <c r="I141">
        <v>21.5</v>
      </c>
      <c r="J141"/>
    </row>
    <row r="142" spans="1:11">
      <c r="A142">
        <v>139</v>
      </c>
      <c r="G142">
        <v>955.7</v>
      </c>
      <c r="H142">
        <v>23.6</v>
      </c>
      <c r="I142">
        <v>25.2</v>
      </c>
      <c r="J142"/>
    </row>
    <row r="143" spans="1:11">
      <c r="A143">
        <v>140</v>
      </c>
      <c r="G143">
        <v>921.8</v>
      </c>
      <c r="H143">
        <v>15.2</v>
      </c>
      <c r="I143">
        <v>17.5</v>
      </c>
      <c r="J143"/>
    </row>
    <row r="144" spans="1:11">
      <c r="A144">
        <v>141</v>
      </c>
      <c r="G144">
        <v>1122</v>
      </c>
      <c r="H144">
        <v>27.4</v>
      </c>
      <c r="I144">
        <v>29.5</v>
      </c>
      <c r="J144"/>
    </row>
    <row r="145" spans="1:11">
      <c r="A145">
        <v>142</v>
      </c>
      <c r="G145">
        <v>1022</v>
      </c>
      <c r="H145">
        <v>28.7</v>
      </c>
      <c r="I145">
        <v>33.5</v>
      </c>
      <c r="J145"/>
    </row>
    <row r="146" spans="1:11">
      <c r="A146">
        <v>143</v>
      </c>
      <c r="G146">
        <v>1083</v>
      </c>
      <c r="H146">
        <v>37.200000000000003</v>
      </c>
      <c r="I146">
        <v>41.1</v>
      </c>
      <c r="J146"/>
    </row>
    <row r="147" spans="1:11">
      <c r="A147">
        <v>144</v>
      </c>
      <c r="G147">
        <v>1095</v>
      </c>
      <c r="H147">
        <v>41.5</v>
      </c>
      <c r="I147">
        <v>42.9</v>
      </c>
      <c r="J147"/>
    </row>
    <row r="148" spans="1:11">
      <c r="A148">
        <v>145</v>
      </c>
      <c r="G148">
        <v>1082</v>
      </c>
      <c r="H148">
        <v>42</v>
      </c>
      <c r="I148">
        <v>44</v>
      </c>
      <c r="J148"/>
    </row>
    <row r="149" spans="1:11">
      <c r="A149">
        <v>146</v>
      </c>
      <c r="B149">
        <v>0.15</v>
      </c>
      <c r="C149">
        <v>10</v>
      </c>
      <c r="D149">
        <v>1.5</v>
      </c>
      <c r="E149">
        <v>0</v>
      </c>
      <c r="F149">
        <f>100-B149-C149-D149-E149</f>
        <v>88.35</v>
      </c>
      <c r="G149">
        <v>993</v>
      </c>
      <c r="H149">
        <v>42.8</v>
      </c>
      <c r="I149">
        <v>44.7</v>
      </c>
      <c r="J149" t="s">
        <v>361</v>
      </c>
      <c r="K149" t="s">
        <v>65</v>
      </c>
    </row>
    <row r="150" spans="1:11">
      <c r="A150">
        <v>147</v>
      </c>
      <c r="G150">
        <v>1229</v>
      </c>
      <c r="H150">
        <v>26.4</v>
      </c>
      <c r="I150">
        <v>27</v>
      </c>
      <c r="J150"/>
    </row>
    <row r="151" spans="1:11">
      <c r="A151">
        <v>148</v>
      </c>
      <c r="G151">
        <v>1420</v>
      </c>
      <c r="H151">
        <v>28.8</v>
      </c>
      <c r="I151">
        <v>29.6</v>
      </c>
      <c r="J151"/>
    </row>
    <row r="152" spans="1:11">
      <c r="A152">
        <v>149</v>
      </c>
      <c r="G152">
        <v>1537</v>
      </c>
      <c r="H152">
        <v>23.1</v>
      </c>
      <c r="I152">
        <v>25.1</v>
      </c>
      <c r="J152"/>
    </row>
    <row r="153" spans="1:11">
      <c r="A153">
        <v>150</v>
      </c>
      <c r="G153">
        <v>1549</v>
      </c>
      <c r="H153">
        <v>21.4</v>
      </c>
      <c r="I153">
        <v>23.1</v>
      </c>
      <c r="J153"/>
    </row>
    <row r="154" spans="1:11">
      <c r="A154">
        <v>151</v>
      </c>
      <c r="B154">
        <v>0.05</v>
      </c>
      <c r="C154">
        <v>12</v>
      </c>
      <c r="D154">
        <v>3</v>
      </c>
      <c r="E154">
        <v>0</v>
      </c>
      <c r="F154">
        <f>100-B154-C154-D154-E154</f>
        <v>84.95</v>
      </c>
      <c r="G154">
        <v>938</v>
      </c>
      <c r="H154">
        <v>8.1</v>
      </c>
      <c r="I154">
        <v>17.100000000000001</v>
      </c>
      <c r="J154" t="s">
        <v>362</v>
      </c>
      <c r="K154" t="s">
        <v>38</v>
      </c>
    </row>
    <row r="155" spans="1:11">
      <c r="A155">
        <v>152</v>
      </c>
      <c r="G155">
        <v>827</v>
      </c>
      <c r="H155">
        <v>14.2</v>
      </c>
      <c r="I155">
        <v>22.9</v>
      </c>
      <c r="J155"/>
    </row>
    <row r="156" spans="1:11">
      <c r="A156">
        <v>153</v>
      </c>
      <c r="G156">
        <v>786</v>
      </c>
      <c r="H156">
        <v>24.5</v>
      </c>
      <c r="I156">
        <v>34.5</v>
      </c>
      <c r="J156"/>
    </row>
    <row r="157" spans="1:11">
      <c r="A157">
        <v>154</v>
      </c>
      <c r="G157">
        <v>804</v>
      </c>
      <c r="H157">
        <v>29.2</v>
      </c>
      <c r="I157">
        <v>33.700000000000003</v>
      </c>
      <c r="J157"/>
    </row>
    <row r="158" spans="1:11">
      <c r="A158">
        <v>155</v>
      </c>
      <c r="G158">
        <v>941</v>
      </c>
      <c r="H158">
        <v>7.9</v>
      </c>
      <c r="I158">
        <v>13.5</v>
      </c>
      <c r="J158"/>
    </row>
    <row r="159" spans="1:11">
      <c r="A159">
        <v>156</v>
      </c>
      <c r="B159">
        <v>0.05</v>
      </c>
      <c r="C159">
        <v>12</v>
      </c>
      <c r="D159">
        <v>3</v>
      </c>
      <c r="E159">
        <v>0</v>
      </c>
      <c r="F159">
        <f>100-B159-C159-D159-E159</f>
        <v>84.95</v>
      </c>
      <c r="G159">
        <v>777.8</v>
      </c>
      <c r="H159">
        <v>13.4</v>
      </c>
      <c r="I159">
        <v>24.6</v>
      </c>
      <c r="J159" t="s">
        <v>363</v>
      </c>
      <c r="K159" t="s">
        <v>129</v>
      </c>
    </row>
    <row r="160" spans="1:11">
      <c r="A160">
        <v>157</v>
      </c>
      <c r="B160">
        <v>0.3</v>
      </c>
      <c r="C160">
        <v>7</v>
      </c>
      <c r="D160">
        <v>2</v>
      </c>
      <c r="F160">
        <f>100-B160-C160-D160-E160</f>
        <v>90.7</v>
      </c>
      <c r="G160">
        <v>958.9</v>
      </c>
      <c r="H160">
        <v>21</v>
      </c>
      <c r="I160">
        <v>32</v>
      </c>
      <c r="J160" t="s">
        <v>364</v>
      </c>
      <c r="K160" t="s">
        <v>43</v>
      </c>
    </row>
    <row r="161" spans="1:11">
      <c r="A161">
        <v>158</v>
      </c>
      <c r="G161">
        <v>1025.2</v>
      </c>
      <c r="H161">
        <v>65.5</v>
      </c>
      <c r="I161">
        <v>67.8</v>
      </c>
      <c r="J161"/>
    </row>
    <row r="162" spans="1:11">
      <c r="A162">
        <v>159</v>
      </c>
      <c r="G162">
        <v>1220.2</v>
      </c>
      <c r="H162">
        <v>37.4</v>
      </c>
      <c r="I162">
        <v>40.1</v>
      </c>
      <c r="J162"/>
    </row>
    <row r="163" spans="1:11">
      <c r="A163">
        <v>160</v>
      </c>
      <c r="B163">
        <v>0.22</v>
      </c>
      <c r="C163">
        <v>7.2</v>
      </c>
      <c r="D163">
        <v>2.4</v>
      </c>
      <c r="F163">
        <f>100-B163-C163-D163-E163</f>
        <v>90.179999999999993</v>
      </c>
      <c r="G163">
        <v>898.6</v>
      </c>
      <c r="H163">
        <v>21.4</v>
      </c>
      <c r="I163">
        <v>35.4</v>
      </c>
      <c r="J163" t="s">
        <v>364</v>
      </c>
      <c r="K163" t="s">
        <v>49</v>
      </c>
    </row>
    <row r="164" spans="1:11">
      <c r="A164">
        <v>161</v>
      </c>
      <c r="G164">
        <v>989.3</v>
      </c>
      <c r="H164">
        <v>59.6</v>
      </c>
      <c r="I164">
        <v>66.2</v>
      </c>
      <c r="J164"/>
    </row>
    <row r="165" spans="1:11">
      <c r="A165">
        <v>162</v>
      </c>
      <c r="G165">
        <v>1155.4000000000001</v>
      </c>
      <c r="H165">
        <v>41.1</v>
      </c>
      <c r="I165">
        <v>41</v>
      </c>
      <c r="J165"/>
    </row>
    <row r="166" spans="1:11">
      <c r="A166">
        <v>163</v>
      </c>
      <c r="G166">
        <v>1091</v>
      </c>
      <c r="H166">
        <v>43.4</v>
      </c>
      <c r="I166">
        <v>47</v>
      </c>
      <c r="J166"/>
    </row>
    <row r="167" spans="1:11">
      <c r="A167">
        <v>164</v>
      </c>
      <c r="G167">
        <v>1255.0999999999999</v>
      </c>
      <c r="H167">
        <v>29.9</v>
      </c>
      <c r="I167">
        <v>33.6</v>
      </c>
      <c r="J167"/>
    </row>
    <row r="168" spans="1:11">
      <c r="A168">
        <v>165</v>
      </c>
      <c r="B168">
        <v>9.1999999999999998E-2</v>
      </c>
      <c r="C168">
        <v>5.91</v>
      </c>
      <c r="D168">
        <v>2.8000000000000001E-2</v>
      </c>
      <c r="E168">
        <v>1.7000000000000001E-2</v>
      </c>
      <c r="F168">
        <f>100-B168-C168-D168-E168</f>
        <v>93.953000000000003</v>
      </c>
      <c r="G168">
        <v>781.2</v>
      </c>
      <c r="H168">
        <v>13</v>
      </c>
      <c r="I168">
        <v>22.8</v>
      </c>
      <c r="J168" t="s">
        <v>365</v>
      </c>
      <c r="K168" t="s">
        <v>44</v>
      </c>
    </row>
    <row r="169" spans="1:11">
      <c r="A169">
        <v>166</v>
      </c>
      <c r="G169">
        <v>767.5</v>
      </c>
      <c r="H169">
        <v>36</v>
      </c>
      <c r="I169">
        <v>41.5</v>
      </c>
      <c r="J169"/>
    </row>
    <row r="170" spans="1:11">
      <c r="A170">
        <v>167</v>
      </c>
      <c r="G170">
        <v>848</v>
      </c>
      <c r="H170">
        <v>35.6</v>
      </c>
      <c r="I170">
        <v>38.1</v>
      </c>
      <c r="J170"/>
    </row>
    <row r="171" spans="1:11">
      <c r="A171">
        <v>168</v>
      </c>
      <c r="G171">
        <v>961.9</v>
      </c>
      <c r="H171">
        <v>26.9</v>
      </c>
      <c r="I171">
        <v>29.4</v>
      </c>
      <c r="J171"/>
    </row>
    <row r="172" spans="1:11">
      <c r="A172">
        <v>169</v>
      </c>
      <c r="G172">
        <v>1130.7</v>
      </c>
      <c r="H172">
        <v>15.9</v>
      </c>
      <c r="I172">
        <v>17.899999999999999</v>
      </c>
      <c r="J172"/>
    </row>
    <row r="173" spans="1:11">
      <c r="A173">
        <v>170</v>
      </c>
      <c r="G173">
        <v>1331</v>
      </c>
      <c r="H173">
        <v>10.6</v>
      </c>
      <c r="I173">
        <v>12.4</v>
      </c>
      <c r="J173"/>
    </row>
    <row r="174" spans="1:11">
      <c r="A174">
        <v>171</v>
      </c>
      <c r="G174">
        <v>1427.2</v>
      </c>
      <c r="H174">
        <v>9.3000000000000007</v>
      </c>
      <c r="I174">
        <v>12.4</v>
      </c>
      <c r="J174"/>
    </row>
    <row r="175" spans="1:11">
      <c r="A175">
        <v>172</v>
      </c>
      <c r="B175">
        <v>0.1</v>
      </c>
      <c r="C175">
        <v>6.38</v>
      </c>
      <c r="D175">
        <v>0</v>
      </c>
      <c r="E175">
        <v>0</v>
      </c>
      <c r="F175">
        <f>100-B175-C175-D175-E175</f>
        <v>93.52000000000001</v>
      </c>
      <c r="G175">
        <v>776.4</v>
      </c>
      <c r="H175">
        <v>12.8</v>
      </c>
      <c r="I175">
        <v>22.2</v>
      </c>
      <c r="J175" t="s">
        <v>365</v>
      </c>
      <c r="K175" t="s">
        <v>45</v>
      </c>
    </row>
    <row r="176" spans="1:11">
      <c r="A176">
        <v>173</v>
      </c>
      <c r="G176">
        <v>768.8</v>
      </c>
      <c r="H176">
        <v>31</v>
      </c>
      <c r="I176">
        <v>35.700000000000003</v>
      </c>
      <c r="J176"/>
    </row>
    <row r="177" spans="1:11">
      <c r="A177">
        <v>174</v>
      </c>
      <c r="G177">
        <v>825.4</v>
      </c>
      <c r="H177">
        <v>28.8</v>
      </c>
      <c r="I177">
        <v>33.700000000000003</v>
      </c>
      <c r="J177"/>
    </row>
    <row r="178" spans="1:11">
      <c r="A178">
        <v>175</v>
      </c>
      <c r="G178">
        <v>915.8</v>
      </c>
      <c r="H178">
        <v>22.6</v>
      </c>
      <c r="I178">
        <v>27.4</v>
      </c>
      <c r="J178"/>
    </row>
    <row r="179" spans="1:11">
      <c r="A179">
        <v>176</v>
      </c>
      <c r="G179">
        <v>1168.3</v>
      </c>
      <c r="H179">
        <v>15.8</v>
      </c>
      <c r="I179">
        <v>17.7</v>
      </c>
      <c r="J179"/>
    </row>
    <row r="180" spans="1:11">
      <c r="A180">
        <v>177</v>
      </c>
      <c r="G180">
        <v>1270.0999999999999</v>
      </c>
      <c r="H180">
        <v>10</v>
      </c>
      <c r="I180">
        <v>10</v>
      </c>
      <c r="J180"/>
    </row>
    <row r="181" spans="1:11">
      <c r="A181">
        <v>178</v>
      </c>
      <c r="G181">
        <v>1405.8</v>
      </c>
      <c r="H181">
        <v>7.3</v>
      </c>
      <c r="I181">
        <v>10.8</v>
      </c>
      <c r="J181"/>
    </row>
    <row r="182" spans="1:11">
      <c r="A182">
        <v>179</v>
      </c>
      <c r="B182">
        <v>0.12</v>
      </c>
      <c r="C182">
        <v>6.1</v>
      </c>
      <c r="D182">
        <v>0</v>
      </c>
      <c r="E182">
        <v>1.5</v>
      </c>
      <c r="F182">
        <f>100-B182-C182-D182-E182</f>
        <v>92.28</v>
      </c>
      <c r="G182">
        <v>1203.5999999999999</v>
      </c>
      <c r="H182">
        <v>22.1</v>
      </c>
      <c r="I182">
        <v>26</v>
      </c>
      <c r="J182" t="s">
        <v>47</v>
      </c>
      <c r="K182" t="s">
        <v>46</v>
      </c>
    </row>
    <row r="183" spans="1:11">
      <c r="A183">
        <v>180</v>
      </c>
      <c r="B183">
        <v>0.15</v>
      </c>
      <c r="C183">
        <v>6.09</v>
      </c>
      <c r="D183">
        <v>1.849</v>
      </c>
      <c r="E183">
        <v>0.96899999999999997</v>
      </c>
      <c r="F183">
        <f>100-B183-C183-D183-E183</f>
        <v>90.941999999999993</v>
      </c>
      <c r="G183">
        <v>1200</v>
      </c>
      <c r="H183">
        <v>20.5</v>
      </c>
      <c r="I183">
        <v>26</v>
      </c>
      <c r="J183" t="s">
        <v>366</v>
      </c>
      <c r="K183" t="s">
        <v>64</v>
      </c>
    </row>
    <row r="184" spans="1:11">
      <c r="A184">
        <v>181</v>
      </c>
      <c r="G184">
        <v>1200</v>
      </c>
      <c r="H184">
        <v>23.8</v>
      </c>
      <c r="I184">
        <v>28</v>
      </c>
      <c r="J184"/>
    </row>
    <row r="185" spans="1:11">
      <c r="A185">
        <v>182</v>
      </c>
      <c r="G185">
        <v>1400</v>
      </c>
      <c r="H185">
        <v>12.2</v>
      </c>
      <c r="I185">
        <v>17</v>
      </c>
      <c r="J185"/>
    </row>
    <row r="186" spans="1:11">
      <c r="A186">
        <v>183</v>
      </c>
      <c r="G186">
        <v>1350</v>
      </c>
      <c r="H186">
        <v>12.5</v>
      </c>
      <c r="I186">
        <v>18</v>
      </c>
      <c r="J186"/>
    </row>
    <row r="187" spans="1:11">
      <c r="A187">
        <v>184</v>
      </c>
      <c r="G187">
        <v>1400</v>
      </c>
      <c r="H187">
        <v>15</v>
      </c>
      <c r="I187">
        <v>16</v>
      </c>
      <c r="J187"/>
    </row>
    <row r="188" spans="1:11">
      <c r="A188">
        <v>185</v>
      </c>
      <c r="B188">
        <v>0.52</v>
      </c>
      <c r="C188">
        <v>7.75</v>
      </c>
      <c r="D188">
        <v>2.78</v>
      </c>
      <c r="E188">
        <v>0</v>
      </c>
      <c r="F188">
        <f t="shared" ref="F188:F192" si="1">100-B188-C188-D188-E188</f>
        <v>88.95</v>
      </c>
      <c r="G188">
        <v>1090</v>
      </c>
      <c r="H188">
        <v>47.4</v>
      </c>
      <c r="I188">
        <v>56.3</v>
      </c>
      <c r="J188" t="s">
        <v>66</v>
      </c>
      <c r="K188" t="s">
        <v>67</v>
      </c>
    </row>
    <row r="189" spans="1:11">
      <c r="A189">
        <v>186</v>
      </c>
      <c r="B189">
        <v>8.5999999999999993E-2</v>
      </c>
      <c r="C189">
        <v>8.0500000000000007</v>
      </c>
      <c r="D189">
        <v>2.1000000000000001E-2</v>
      </c>
      <c r="E189">
        <v>0.13800000000000001</v>
      </c>
      <c r="F189">
        <f t="shared" si="1"/>
        <v>91.704999999999998</v>
      </c>
      <c r="G189">
        <v>1235</v>
      </c>
      <c r="H189">
        <v>20.7</v>
      </c>
      <c r="I189">
        <v>24.8</v>
      </c>
      <c r="J189" t="s">
        <v>69</v>
      </c>
      <c r="K189" t="s">
        <v>70</v>
      </c>
    </row>
    <row r="190" spans="1:11">
      <c r="A190">
        <v>187</v>
      </c>
      <c r="G190">
        <v>1307</v>
      </c>
      <c r="H190">
        <v>26.9</v>
      </c>
      <c r="I190">
        <v>30</v>
      </c>
      <c r="J190"/>
    </row>
    <row r="191" spans="1:11">
      <c r="A191">
        <v>188</v>
      </c>
      <c r="B191">
        <v>0.28000000000000003</v>
      </c>
      <c r="C191">
        <v>6.2</v>
      </c>
      <c r="D191">
        <v>0</v>
      </c>
      <c r="E191">
        <v>1.6</v>
      </c>
      <c r="F191">
        <f t="shared" si="1"/>
        <v>91.92</v>
      </c>
      <c r="G191">
        <v>1260</v>
      </c>
      <c r="H191">
        <v>32.700000000000003</v>
      </c>
      <c r="I191">
        <v>37.299999999999997</v>
      </c>
      <c r="J191" t="s">
        <v>119</v>
      </c>
      <c r="K191" t="s">
        <v>72</v>
      </c>
    </row>
    <row r="192" spans="1:11">
      <c r="A192">
        <v>189</v>
      </c>
      <c r="B192">
        <v>5.6000000000000001E-2</v>
      </c>
      <c r="C192">
        <v>8.9</v>
      </c>
      <c r="D192">
        <v>1</v>
      </c>
      <c r="E192">
        <v>1.54</v>
      </c>
      <c r="F192">
        <f t="shared" si="1"/>
        <v>88.503999999999991</v>
      </c>
      <c r="G192">
        <v>1070.3</v>
      </c>
      <c r="H192">
        <v>23.2</v>
      </c>
      <c r="I192">
        <v>26</v>
      </c>
      <c r="J192" t="s">
        <v>73</v>
      </c>
      <c r="K192" t="s">
        <v>74</v>
      </c>
    </row>
    <row r="193" spans="1:11">
      <c r="A193">
        <v>190</v>
      </c>
      <c r="G193">
        <v>1157</v>
      </c>
      <c r="H193">
        <v>22</v>
      </c>
      <c r="I193">
        <v>24.5</v>
      </c>
      <c r="J193"/>
    </row>
    <row r="194" spans="1:11">
      <c r="A194">
        <v>191</v>
      </c>
      <c r="G194">
        <v>1150.5</v>
      </c>
      <c r="H194">
        <v>24.4</v>
      </c>
      <c r="I194">
        <v>28.5</v>
      </c>
      <c r="J194"/>
    </row>
    <row r="195" spans="1:11">
      <c r="A195">
        <v>192</v>
      </c>
      <c r="G195">
        <v>1145.8</v>
      </c>
      <c r="H195">
        <v>21.5</v>
      </c>
      <c r="I195">
        <v>23</v>
      </c>
      <c r="J195"/>
    </row>
    <row r="196" spans="1:11">
      <c r="A196">
        <v>193</v>
      </c>
      <c r="B196">
        <v>0.20799999999999999</v>
      </c>
      <c r="C196">
        <v>5.1100000000000003</v>
      </c>
      <c r="D196">
        <v>2.4700000000000002</v>
      </c>
      <c r="E196">
        <v>0</v>
      </c>
      <c r="F196">
        <f>100-B196-C196-D196-E196</f>
        <v>92.212000000000003</v>
      </c>
      <c r="G196">
        <v>1123.3</v>
      </c>
      <c r="H196">
        <v>17.100000000000001</v>
      </c>
      <c r="I196">
        <v>17.100000000000001</v>
      </c>
      <c r="J196" t="s">
        <v>79</v>
      </c>
      <c r="K196" t="s">
        <v>80</v>
      </c>
    </row>
    <row r="197" spans="1:11">
      <c r="A197">
        <v>194</v>
      </c>
      <c r="G197">
        <v>1343.8</v>
      </c>
      <c r="H197">
        <v>17.399999999999999</v>
      </c>
      <c r="I197">
        <v>18.3</v>
      </c>
      <c r="J197"/>
    </row>
    <row r="198" spans="1:11">
      <c r="A198">
        <v>195</v>
      </c>
      <c r="G198">
        <v>1440.3</v>
      </c>
      <c r="H198">
        <v>12.6</v>
      </c>
      <c r="I198">
        <v>13.6</v>
      </c>
      <c r="J198"/>
    </row>
    <row r="199" spans="1:11">
      <c r="A199">
        <v>196</v>
      </c>
      <c r="B199">
        <v>0.12</v>
      </c>
      <c r="C199">
        <v>7</v>
      </c>
      <c r="D199">
        <v>0</v>
      </c>
      <c r="E199">
        <v>0.3</v>
      </c>
      <c r="F199">
        <f>100-B199-C199-D199-E199</f>
        <v>92.58</v>
      </c>
      <c r="G199">
        <v>1132.3</v>
      </c>
      <c r="H199">
        <v>34.299999999999997</v>
      </c>
      <c r="I199">
        <v>37.4</v>
      </c>
      <c r="J199" t="s">
        <v>124</v>
      </c>
      <c r="K199" t="s">
        <v>81</v>
      </c>
    </row>
    <row r="200" spans="1:11">
      <c r="A200">
        <v>197</v>
      </c>
      <c r="G200">
        <v>1053.4000000000001</v>
      </c>
      <c r="H200">
        <v>20.3</v>
      </c>
      <c r="I200">
        <v>26.6</v>
      </c>
      <c r="J200"/>
    </row>
    <row r="201" spans="1:11">
      <c r="A201">
        <v>198</v>
      </c>
      <c r="B201">
        <v>0.1</v>
      </c>
      <c r="C201">
        <v>4.91</v>
      </c>
      <c r="D201">
        <v>8.0000000000000002E-3</v>
      </c>
      <c r="E201">
        <v>2.04</v>
      </c>
      <c r="F201">
        <f>100-B201-C201-D201-E201</f>
        <v>92.942000000000007</v>
      </c>
      <c r="G201">
        <v>849</v>
      </c>
      <c r="H201">
        <v>25.6</v>
      </c>
      <c r="I201">
        <v>39.9</v>
      </c>
      <c r="J201" t="s">
        <v>367</v>
      </c>
      <c r="K201" t="s">
        <v>82</v>
      </c>
    </row>
    <row r="202" spans="1:11">
      <c r="A202">
        <v>199</v>
      </c>
      <c r="G202">
        <v>939</v>
      </c>
      <c r="H202">
        <v>16.5</v>
      </c>
      <c r="I202">
        <v>29.1</v>
      </c>
      <c r="J202"/>
    </row>
    <row r="203" spans="1:11">
      <c r="A203">
        <v>200</v>
      </c>
      <c r="G203">
        <v>1064</v>
      </c>
      <c r="H203">
        <v>15.2</v>
      </c>
      <c r="I203">
        <v>26.4</v>
      </c>
      <c r="J203"/>
    </row>
    <row r="204" spans="1:11">
      <c r="A204">
        <v>201</v>
      </c>
      <c r="G204">
        <v>1208</v>
      </c>
      <c r="H204">
        <v>9.1999999999999993</v>
      </c>
      <c r="I204">
        <v>18.399999999999999</v>
      </c>
      <c r="J204"/>
    </row>
    <row r="205" spans="1:11">
      <c r="A205">
        <v>202</v>
      </c>
      <c r="B205">
        <v>0.06</v>
      </c>
      <c r="C205">
        <v>5.5</v>
      </c>
      <c r="D205">
        <v>0.03</v>
      </c>
      <c r="E205">
        <v>0.2</v>
      </c>
      <c r="F205">
        <f>100-B205-C205-D205-E205</f>
        <v>94.21</v>
      </c>
      <c r="G205">
        <v>1109.5</v>
      </c>
      <c r="H205">
        <v>17.5</v>
      </c>
      <c r="I205">
        <v>19.7</v>
      </c>
      <c r="J205" t="s">
        <v>97</v>
      </c>
      <c r="K205" t="s">
        <v>98</v>
      </c>
    </row>
    <row r="206" spans="1:11">
      <c r="A206">
        <v>203</v>
      </c>
      <c r="G206">
        <v>1089.9000000000001</v>
      </c>
      <c r="H206">
        <v>15.6</v>
      </c>
      <c r="I206">
        <v>18.3</v>
      </c>
      <c r="J206"/>
    </row>
    <row r="207" spans="1:11">
      <c r="A207">
        <v>204</v>
      </c>
      <c r="G207">
        <v>1073.2</v>
      </c>
      <c r="H207">
        <v>13.7</v>
      </c>
      <c r="I207">
        <v>17.2</v>
      </c>
      <c r="J207"/>
    </row>
    <row r="208" spans="1:11">
      <c r="A208">
        <v>205</v>
      </c>
      <c r="G208">
        <v>1053.3</v>
      </c>
      <c r="H208">
        <v>12.8</v>
      </c>
      <c r="I208">
        <v>16.399999999999999</v>
      </c>
      <c r="J208"/>
    </row>
    <row r="209" spans="1:11">
      <c r="A209">
        <v>206</v>
      </c>
      <c r="G209">
        <v>1014.6</v>
      </c>
      <c r="H209">
        <v>8.3000000000000007</v>
      </c>
      <c r="I209">
        <v>11.6</v>
      </c>
      <c r="J209"/>
    </row>
    <row r="210" spans="1:11">
      <c r="A210">
        <v>207</v>
      </c>
      <c r="G210">
        <v>1204.5999999999999</v>
      </c>
      <c r="H210">
        <v>11</v>
      </c>
      <c r="I210">
        <v>14</v>
      </c>
      <c r="J210"/>
    </row>
    <row r="211" spans="1:11">
      <c r="A211">
        <v>208</v>
      </c>
      <c r="G211">
        <v>1412.7</v>
      </c>
      <c r="H211">
        <v>5.7</v>
      </c>
      <c r="I211">
        <v>9.1999999999999993</v>
      </c>
      <c r="J211"/>
    </row>
    <row r="212" spans="1:11">
      <c r="A212">
        <v>209</v>
      </c>
      <c r="B212">
        <v>0.2</v>
      </c>
      <c r="C212">
        <v>5</v>
      </c>
      <c r="D212">
        <v>0</v>
      </c>
      <c r="E212">
        <v>2.5</v>
      </c>
      <c r="F212">
        <f>100-B212-C212-D212-E212</f>
        <v>92.3</v>
      </c>
      <c r="G212">
        <v>931.1</v>
      </c>
      <c r="H212">
        <v>34.4</v>
      </c>
      <c r="I212">
        <v>36.700000000000003</v>
      </c>
      <c r="J212" t="s">
        <v>101</v>
      </c>
      <c r="K212" t="s">
        <v>102</v>
      </c>
    </row>
    <row r="213" spans="1:11">
      <c r="A213">
        <v>210</v>
      </c>
      <c r="G213">
        <v>1128.5</v>
      </c>
      <c r="H213">
        <v>28</v>
      </c>
      <c r="I213">
        <v>29.6</v>
      </c>
      <c r="J213"/>
    </row>
    <row r="214" spans="1:11">
      <c r="A214">
        <v>211</v>
      </c>
      <c r="G214">
        <v>1249</v>
      </c>
      <c r="H214">
        <v>19.399999999999999</v>
      </c>
      <c r="I214">
        <v>20.2</v>
      </c>
      <c r="J214"/>
    </row>
    <row r="215" spans="1:11">
      <c r="A215">
        <v>212</v>
      </c>
      <c r="B215">
        <v>0.22</v>
      </c>
      <c r="C215">
        <v>11.2</v>
      </c>
      <c r="D215">
        <v>1.95</v>
      </c>
      <c r="E215">
        <v>0</v>
      </c>
      <c r="F215">
        <f>100-B215-C215-D215-E215</f>
        <v>86.63</v>
      </c>
      <c r="G215">
        <v>1398.3</v>
      </c>
      <c r="H215">
        <v>2</v>
      </c>
      <c r="I215">
        <v>5.7</v>
      </c>
      <c r="J215" t="s">
        <v>115</v>
      </c>
      <c r="K215" t="s">
        <v>116</v>
      </c>
    </row>
    <row r="216" spans="1:11">
      <c r="A216">
        <v>213</v>
      </c>
      <c r="G216">
        <v>1249.7</v>
      </c>
      <c r="H216">
        <v>40.5</v>
      </c>
      <c r="I216">
        <v>41.9</v>
      </c>
      <c r="J216"/>
    </row>
    <row r="217" spans="1:11">
      <c r="A217">
        <v>214</v>
      </c>
      <c r="G217">
        <v>1536.2</v>
      </c>
      <c r="H217">
        <v>24.2</v>
      </c>
      <c r="I217">
        <v>24.2</v>
      </c>
      <c r="J217"/>
    </row>
    <row r="218" spans="1:11">
      <c r="A218">
        <v>215</v>
      </c>
      <c r="G218">
        <v>1708.8</v>
      </c>
      <c r="H218">
        <v>16.3</v>
      </c>
      <c r="I218">
        <v>18.3</v>
      </c>
      <c r="J218"/>
    </row>
    <row r="219" spans="1:11">
      <c r="A219">
        <v>216</v>
      </c>
      <c r="G219">
        <v>1669.7</v>
      </c>
      <c r="H219">
        <v>15.2</v>
      </c>
      <c r="I219">
        <v>15.9</v>
      </c>
      <c r="J219"/>
    </row>
    <row r="220" spans="1:11">
      <c r="A220">
        <v>217</v>
      </c>
      <c r="G220">
        <v>1273.5999999999999</v>
      </c>
      <c r="H220">
        <v>48.6</v>
      </c>
      <c r="I220">
        <v>50.5</v>
      </c>
      <c r="J220"/>
    </row>
    <row r="221" spans="1:11">
      <c r="A221">
        <v>218</v>
      </c>
      <c r="G221">
        <v>1336.1</v>
      </c>
      <c r="H221">
        <v>39.700000000000003</v>
      </c>
      <c r="I221">
        <v>39.799999999999997</v>
      </c>
      <c r="J221"/>
    </row>
    <row r="222" spans="1:11">
      <c r="A222">
        <v>219</v>
      </c>
      <c r="G222">
        <v>1329.5</v>
      </c>
      <c r="H222">
        <v>33.5</v>
      </c>
      <c r="I222">
        <v>33.799999999999997</v>
      </c>
      <c r="J222"/>
    </row>
    <row r="223" spans="1:11">
      <c r="A223">
        <v>220</v>
      </c>
      <c r="B223">
        <v>0.05</v>
      </c>
      <c r="C223">
        <v>8.51</v>
      </c>
      <c r="D223">
        <v>0.08</v>
      </c>
      <c r="E223">
        <v>0.28999999999999998</v>
      </c>
      <c r="F223">
        <f t="shared" ref="F223:F231" si="2">100-B223-C223-D223-E223</f>
        <v>91.07</v>
      </c>
      <c r="G223">
        <v>1193</v>
      </c>
      <c r="H223">
        <v>22.2</v>
      </c>
      <c r="I223">
        <v>25</v>
      </c>
      <c r="J223" t="s">
        <v>368</v>
      </c>
      <c r="K223" t="s">
        <v>127</v>
      </c>
    </row>
    <row r="224" spans="1:11">
      <c r="A224">
        <v>221</v>
      </c>
      <c r="B224">
        <v>9.2999999999999999E-2</v>
      </c>
      <c r="C224">
        <v>7.22</v>
      </c>
      <c r="D224">
        <v>1.2999999999999999E-2</v>
      </c>
      <c r="E224">
        <v>0.49</v>
      </c>
      <c r="F224">
        <f t="shared" si="2"/>
        <v>92.183999999999997</v>
      </c>
      <c r="G224">
        <v>1402</v>
      </c>
      <c r="H224">
        <v>19.5</v>
      </c>
      <c r="I224">
        <v>21.8</v>
      </c>
      <c r="J224" t="s">
        <v>368</v>
      </c>
      <c r="K224" t="s">
        <v>134</v>
      </c>
    </row>
    <row r="225" spans="1:11">
      <c r="A225">
        <v>222</v>
      </c>
      <c r="B225">
        <v>0.18</v>
      </c>
      <c r="C225">
        <v>8</v>
      </c>
      <c r="D225">
        <v>0</v>
      </c>
      <c r="E225">
        <v>0</v>
      </c>
      <c r="F225">
        <f t="shared" si="2"/>
        <v>91.82</v>
      </c>
      <c r="G225">
        <v>1047</v>
      </c>
      <c r="H225">
        <v>30.2</v>
      </c>
      <c r="I225">
        <v>30.5</v>
      </c>
      <c r="J225" t="s">
        <v>369</v>
      </c>
      <c r="K225" t="s">
        <v>128</v>
      </c>
    </row>
    <row r="226" spans="1:11">
      <c r="A226">
        <v>223</v>
      </c>
      <c r="G226">
        <v>1458</v>
      </c>
      <c r="H226">
        <v>29.6</v>
      </c>
      <c r="I226">
        <v>30.3</v>
      </c>
      <c r="J226"/>
    </row>
    <row r="227" spans="1:11">
      <c r="A227">
        <v>224</v>
      </c>
      <c r="G227">
        <v>2004</v>
      </c>
      <c r="H227">
        <v>11.6</v>
      </c>
      <c r="I227">
        <v>15.1</v>
      </c>
      <c r="J227"/>
    </row>
    <row r="228" spans="1:11">
      <c r="A228">
        <v>225</v>
      </c>
      <c r="B228">
        <v>0.1</v>
      </c>
      <c r="C228">
        <v>13.8</v>
      </c>
      <c r="D228">
        <v>0.4</v>
      </c>
      <c r="E228">
        <v>2.0099999999999998</v>
      </c>
      <c r="F228">
        <f t="shared" si="2"/>
        <v>83.69</v>
      </c>
      <c r="G228">
        <v>1316</v>
      </c>
      <c r="H228">
        <v>24</v>
      </c>
      <c r="I228">
        <v>24.8</v>
      </c>
      <c r="J228" t="s">
        <v>130</v>
      </c>
      <c r="K228" t="s">
        <v>131</v>
      </c>
    </row>
    <row r="229" spans="1:11">
      <c r="A229">
        <v>226</v>
      </c>
      <c r="B229">
        <v>0.17</v>
      </c>
      <c r="C229">
        <v>10.199999999999999</v>
      </c>
      <c r="D229">
        <v>0.3</v>
      </c>
      <c r="E229">
        <v>2.38</v>
      </c>
      <c r="F229">
        <f t="shared" si="2"/>
        <v>86.95</v>
      </c>
      <c r="G229">
        <v>1404</v>
      </c>
      <c r="H229">
        <v>33.200000000000003</v>
      </c>
      <c r="I229">
        <v>34.1</v>
      </c>
      <c r="J229"/>
    </row>
    <row r="230" spans="1:11">
      <c r="A230">
        <v>227</v>
      </c>
      <c r="B230">
        <v>0.4</v>
      </c>
      <c r="C230">
        <v>8</v>
      </c>
      <c r="D230">
        <v>3</v>
      </c>
      <c r="E230">
        <v>2</v>
      </c>
      <c r="F230">
        <f t="shared" si="2"/>
        <v>86.6</v>
      </c>
      <c r="G230">
        <v>1217</v>
      </c>
      <c r="H230">
        <v>38.6</v>
      </c>
      <c r="I230">
        <v>39.5</v>
      </c>
      <c r="J230" t="s">
        <v>354</v>
      </c>
      <c r="K230" t="s">
        <v>17</v>
      </c>
    </row>
    <row r="231" spans="1:11">
      <c r="A231">
        <v>228</v>
      </c>
      <c r="B231">
        <v>0.3</v>
      </c>
      <c r="C231">
        <v>6</v>
      </c>
      <c r="D231">
        <v>3</v>
      </c>
      <c r="E231">
        <v>1.5</v>
      </c>
      <c r="F231">
        <f t="shared" si="2"/>
        <v>89.2</v>
      </c>
      <c r="G231">
        <v>905</v>
      </c>
      <c r="H231">
        <v>19.600000000000001</v>
      </c>
      <c r="I231">
        <v>35.5</v>
      </c>
      <c r="J231" t="s">
        <v>370</v>
      </c>
      <c r="K231" t="s">
        <v>19</v>
      </c>
    </row>
    <row r="232" spans="1:11">
      <c r="A232">
        <v>229</v>
      </c>
      <c r="G232">
        <v>926</v>
      </c>
      <c r="H232">
        <v>41.4</v>
      </c>
      <c r="I232">
        <v>49.5</v>
      </c>
      <c r="J232"/>
    </row>
    <row r="233" spans="1:11">
      <c r="A233">
        <v>230</v>
      </c>
      <c r="G233">
        <v>977</v>
      </c>
      <c r="H233">
        <v>47</v>
      </c>
      <c r="I233">
        <v>52.8</v>
      </c>
      <c r="J233"/>
    </row>
    <row r="234" spans="1:11">
      <c r="A234">
        <v>231</v>
      </c>
      <c r="G234">
        <v>984</v>
      </c>
      <c r="H234">
        <v>42.9</v>
      </c>
      <c r="I234">
        <v>47.2</v>
      </c>
      <c r="J234"/>
    </row>
    <row r="235" spans="1:11">
      <c r="A235">
        <v>232</v>
      </c>
      <c r="G235">
        <v>1130</v>
      </c>
      <c r="H235">
        <v>36</v>
      </c>
      <c r="I235">
        <v>40.4</v>
      </c>
      <c r="J235"/>
    </row>
    <row r="236" spans="1:11">
      <c r="A236">
        <v>233</v>
      </c>
      <c r="G236">
        <v>1129</v>
      </c>
      <c r="H236">
        <v>31.6</v>
      </c>
      <c r="I236">
        <v>35</v>
      </c>
      <c r="J236"/>
    </row>
    <row r="237" spans="1:11">
      <c r="A237">
        <v>234</v>
      </c>
      <c r="G237">
        <v>1365</v>
      </c>
      <c r="H237">
        <v>16.600000000000001</v>
      </c>
      <c r="I237">
        <v>19.2</v>
      </c>
      <c r="J237"/>
    </row>
    <row r="238" spans="1:11">
      <c r="A238">
        <v>235</v>
      </c>
      <c r="B238">
        <v>0.45</v>
      </c>
      <c r="C238">
        <v>10</v>
      </c>
      <c r="D238">
        <v>1</v>
      </c>
      <c r="E238">
        <v>0</v>
      </c>
      <c r="F238">
        <f>100-B238-C238-D238-E238</f>
        <v>88.55</v>
      </c>
      <c r="G238">
        <v>1027</v>
      </c>
      <c r="H238">
        <v>46</v>
      </c>
      <c r="I238">
        <v>46</v>
      </c>
      <c r="J238" t="s">
        <v>28</v>
      </c>
      <c r="K238" t="s">
        <v>29</v>
      </c>
    </row>
    <row r="239" spans="1:11">
      <c r="A239">
        <v>236</v>
      </c>
      <c r="B239">
        <v>9.1999999999999998E-2</v>
      </c>
      <c r="C239">
        <v>4.5999999999999996</v>
      </c>
      <c r="D239">
        <v>0</v>
      </c>
      <c r="E239">
        <v>0</v>
      </c>
      <c r="F239">
        <f>100-B239-C239-D239-E239</f>
        <v>95.308000000000007</v>
      </c>
      <c r="G239">
        <v>950</v>
      </c>
      <c r="H239">
        <v>15.9</v>
      </c>
      <c r="I239">
        <v>18.2</v>
      </c>
      <c r="J239" t="s">
        <v>33</v>
      </c>
      <c r="K239" t="s">
        <v>34</v>
      </c>
    </row>
    <row r="240" spans="1:11">
      <c r="A240">
        <v>237</v>
      </c>
      <c r="G240">
        <v>951</v>
      </c>
      <c r="H240">
        <v>17.5</v>
      </c>
      <c r="I240">
        <v>20.6</v>
      </c>
      <c r="J240"/>
    </row>
    <row r="241" spans="1:11">
      <c r="A241">
        <v>238</v>
      </c>
      <c r="G241">
        <v>933</v>
      </c>
      <c r="H241">
        <v>15.5</v>
      </c>
      <c r="I241">
        <v>18.7</v>
      </c>
      <c r="J241"/>
    </row>
    <row r="242" spans="1:11">
      <c r="A242">
        <v>239</v>
      </c>
      <c r="G242">
        <v>959</v>
      </c>
      <c r="H242">
        <v>15.5</v>
      </c>
      <c r="I242">
        <v>17.2</v>
      </c>
      <c r="J242"/>
    </row>
    <row r="243" spans="1:11">
      <c r="A243">
        <v>240</v>
      </c>
      <c r="G243">
        <v>868</v>
      </c>
      <c r="H243">
        <v>21</v>
      </c>
      <c r="I243">
        <v>25.2</v>
      </c>
      <c r="J243"/>
    </row>
    <row r="244" spans="1:11">
      <c r="A244">
        <v>241</v>
      </c>
      <c r="G244">
        <v>977</v>
      </c>
      <c r="H244">
        <v>13.1</v>
      </c>
      <c r="I244">
        <v>13.5</v>
      </c>
      <c r="J244"/>
    </row>
    <row r="245" spans="1:11">
      <c r="A245">
        <v>242</v>
      </c>
      <c r="G245">
        <v>961</v>
      </c>
      <c r="H245">
        <v>14.3</v>
      </c>
      <c r="I245">
        <v>16</v>
      </c>
      <c r="J245"/>
    </row>
    <row r="246" spans="1:11">
      <c r="A246">
        <v>243</v>
      </c>
      <c r="G246">
        <v>950</v>
      </c>
      <c r="H246">
        <v>13.2</v>
      </c>
      <c r="I246">
        <v>14.1</v>
      </c>
      <c r="J246"/>
    </row>
    <row r="247" spans="1:11">
      <c r="A247">
        <v>244</v>
      </c>
      <c r="G247">
        <v>955</v>
      </c>
      <c r="H247">
        <v>12</v>
      </c>
      <c r="I247">
        <v>13.6</v>
      </c>
      <c r="J247"/>
    </row>
    <row r="248" spans="1:11">
      <c r="A248">
        <v>245</v>
      </c>
      <c r="B248">
        <v>0.1</v>
      </c>
      <c r="C248">
        <v>4.7</v>
      </c>
      <c r="D248">
        <v>0</v>
      </c>
      <c r="E248">
        <v>0</v>
      </c>
      <c r="F248">
        <f>100-B248-C248-D248-E248</f>
        <v>95.2</v>
      </c>
      <c r="G248">
        <v>764.1</v>
      </c>
      <c r="H248">
        <v>13.5</v>
      </c>
      <c r="I248">
        <v>22.8</v>
      </c>
      <c r="J248" t="s">
        <v>33</v>
      </c>
      <c r="K248" t="s">
        <v>117</v>
      </c>
    </row>
    <row r="249" spans="1:11">
      <c r="A249">
        <v>246</v>
      </c>
      <c r="G249">
        <v>773.2</v>
      </c>
      <c r="H249">
        <v>20.7</v>
      </c>
      <c r="I249">
        <v>29</v>
      </c>
      <c r="J249"/>
    </row>
    <row r="250" spans="1:11">
      <c r="A250">
        <v>247</v>
      </c>
      <c r="G250">
        <v>788</v>
      </c>
      <c r="H250">
        <v>23.7</v>
      </c>
      <c r="I250">
        <v>31.6</v>
      </c>
      <c r="J250"/>
    </row>
    <row r="251" spans="1:11">
      <c r="A251">
        <v>248</v>
      </c>
      <c r="G251">
        <v>824.5</v>
      </c>
      <c r="H251">
        <v>23.2</v>
      </c>
      <c r="I251">
        <v>26.3</v>
      </c>
      <c r="J251"/>
    </row>
    <row r="252" spans="1:11">
      <c r="A252">
        <v>249</v>
      </c>
      <c r="G252">
        <v>825.6</v>
      </c>
      <c r="H252">
        <v>24.9</v>
      </c>
      <c r="I252">
        <v>29.6</v>
      </c>
      <c r="J252"/>
    </row>
    <row r="253" spans="1:11">
      <c r="A253">
        <v>250</v>
      </c>
      <c r="G253">
        <v>906.6</v>
      </c>
      <c r="H253">
        <v>19.2</v>
      </c>
      <c r="I253">
        <v>23.6</v>
      </c>
      <c r="J253"/>
    </row>
    <row r="254" spans="1:11">
      <c r="A254">
        <v>251</v>
      </c>
      <c r="G254">
        <v>880.3</v>
      </c>
      <c r="H254">
        <v>22</v>
      </c>
      <c r="I254">
        <v>25.8</v>
      </c>
      <c r="J254"/>
    </row>
    <row r="255" spans="1:11">
      <c r="A255">
        <v>252</v>
      </c>
      <c r="G255">
        <v>895.2</v>
      </c>
      <c r="H255">
        <v>21.6</v>
      </c>
      <c r="I255">
        <v>25.7</v>
      </c>
      <c r="J255"/>
    </row>
    <row r="256" spans="1:11">
      <c r="A256">
        <v>253</v>
      </c>
      <c r="G256">
        <v>903.1</v>
      </c>
      <c r="H256">
        <v>19.100000000000001</v>
      </c>
      <c r="I256">
        <v>22.2</v>
      </c>
      <c r="J256"/>
    </row>
    <row r="257" spans="1:11">
      <c r="A257">
        <v>254</v>
      </c>
      <c r="G257">
        <v>868.9</v>
      </c>
      <c r="H257">
        <v>14.2</v>
      </c>
      <c r="I257">
        <v>15.2</v>
      </c>
      <c r="J257"/>
    </row>
    <row r="258" spans="1:11">
      <c r="A258">
        <v>255</v>
      </c>
      <c r="B258">
        <v>0.25</v>
      </c>
      <c r="C258">
        <v>4</v>
      </c>
      <c r="D258">
        <v>1.88</v>
      </c>
      <c r="E258">
        <v>0.6</v>
      </c>
      <c r="F258">
        <f>100-B258-C258-D258-E258</f>
        <v>93.27000000000001</v>
      </c>
      <c r="G258">
        <v>913</v>
      </c>
      <c r="H258">
        <v>11.4</v>
      </c>
      <c r="I258">
        <v>23.1</v>
      </c>
      <c r="J258" t="s">
        <v>123</v>
      </c>
      <c r="K258" t="s">
        <v>39</v>
      </c>
    </row>
    <row r="259" spans="1:11">
      <c r="A259">
        <v>256</v>
      </c>
      <c r="G259">
        <v>951</v>
      </c>
      <c r="H259">
        <v>44.4</v>
      </c>
      <c r="I259">
        <v>48.6</v>
      </c>
      <c r="J259"/>
    </row>
    <row r="260" spans="1:11">
      <c r="A260">
        <v>257</v>
      </c>
      <c r="G260">
        <v>1143</v>
      </c>
      <c r="H260">
        <v>27.1</v>
      </c>
      <c r="I260">
        <v>29.9</v>
      </c>
      <c r="J260"/>
    </row>
    <row r="261" spans="1:11">
      <c r="A261">
        <v>258</v>
      </c>
      <c r="G261">
        <v>1251</v>
      </c>
      <c r="H261">
        <v>19.600000000000001</v>
      </c>
      <c r="I261">
        <v>23.6</v>
      </c>
      <c r="J261"/>
    </row>
    <row r="262" spans="1:11">
      <c r="A262">
        <v>259</v>
      </c>
      <c r="B262">
        <v>0.3</v>
      </c>
      <c r="C262">
        <v>6</v>
      </c>
      <c r="D262">
        <v>3</v>
      </c>
      <c r="E262">
        <v>1.5</v>
      </c>
      <c r="F262">
        <f>100-B262-C262-D262-E262</f>
        <v>89.2</v>
      </c>
      <c r="G262">
        <v>905</v>
      </c>
      <c r="H262">
        <v>19.600000000000001</v>
      </c>
      <c r="I262">
        <v>35.5</v>
      </c>
      <c r="J262" t="s">
        <v>370</v>
      </c>
      <c r="K262" t="s">
        <v>19</v>
      </c>
    </row>
    <row r="263" spans="1:11">
      <c r="A263">
        <v>260</v>
      </c>
      <c r="G263">
        <v>926</v>
      </c>
      <c r="H263">
        <v>41.4</v>
      </c>
      <c r="I263">
        <v>49.5</v>
      </c>
      <c r="J263"/>
    </row>
    <row r="264" spans="1:11">
      <c r="A264">
        <v>261</v>
      </c>
      <c r="G264">
        <v>977</v>
      </c>
      <c r="H264">
        <v>47</v>
      </c>
      <c r="I264">
        <v>52.8</v>
      </c>
      <c r="J264"/>
    </row>
    <row r="265" spans="1:11">
      <c r="A265">
        <v>262</v>
      </c>
      <c r="G265">
        <v>984</v>
      </c>
      <c r="H265">
        <v>42.9</v>
      </c>
      <c r="I265">
        <v>47.2</v>
      </c>
      <c r="J265"/>
    </row>
    <row r="266" spans="1:11">
      <c r="A266">
        <v>263</v>
      </c>
      <c r="G266">
        <v>1130</v>
      </c>
      <c r="H266">
        <v>36</v>
      </c>
      <c r="I266">
        <v>40.4</v>
      </c>
      <c r="J266"/>
    </row>
    <row r="267" spans="1:11">
      <c r="A267">
        <v>264</v>
      </c>
      <c r="G267">
        <v>1129</v>
      </c>
      <c r="H267">
        <v>31.6</v>
      </c>
      <c r="I267">
        <v>35</v>
      </c>
      <c r="J267"/>
    </row>
    <row r="268" spans="1:11">
      <c r="A268">
        <v>265</v>
      </c>
      <c r="G268">
        <v>1365</v>
      </c>
      <c r="H268">
        <v>16.600000000000001</v>
      </c>
      <c r="I268">
        <v>19.2</v>
      </c>
      <c r="J268"/>
    </row>
    <row r="269" spans="1:11">
      <c r="A269">
        <v>266</v>
      </c>
      <c r="B269">
        <v>0.1</v>
      </c>
      <c r="C269">
        <v>6.38</v>
      </c>
      <c r="D269">
        <v>0</v>
      </c>
      <c r="E269">
        <v>0</v>
      </c>
      <c r="F269">
        <f>100-B269-C269-D269-E269</f>
        <v>93.52000000000001</v>
      </c>
      <c r="G269">
        <v>808.7</v>
      </c>
      <c r="H269">
        <v>12.5</v>
      </c>
      <c r="I269">
        <v>24.9</v>
      </c>
      <c r="J269" t="s">
        <v>365</v>
      </c>
      <c r="K269" t="s">
        <v>45</v>
      </c>
    </row>
    <row r="270" spans="1:11">
      <c r="A270">
        <v>267</v>
      </c>
      <c r="G270">
        <v>787.4</v>
      </c>
      <c r="H270">
        <v>20.3</v>
      </c>
      <c r="I270">
        <v>32.6</v>
      </c>
      <c r="J270"/>
    </row>
    <row r="271" spans="1:11">
      <c r="A271">
        <v>268</v>
      </c>
      <c r="G271">
        <v>811.4</v>
      </c>
      <c r="H271">
        <v>32.200000000000003</v>
      </c>
      <c r="I271">
        <v>41.2</v>
      </c>
      <c r="J271"/>
    </row>
    <row r="272" spans="1:11">
      <c r="A272">
        <v>269</v>
      </c>
      <c r="G272">
        <v>888.8</v>
      </c>
      <c r="H272">
        <v>30.5</v>
      </c>
      <c r="I272">
        <v>38.5</v>
      </c>
      <c r="J272"/>
    </row>
    <row r="273" spans="1:11">
      <c r="A273">
        <v>270</v>
      </c>
      <c r="G273">
        <v>1038.3</v>
      </c>
      <c r="H273">
        <v>20.9</v>
      </c>
      <c r="I273">
        <v>22.7</v>
      </c>
      <c r="J273"/>
    </row>
    <row r="274" spans="1:11">
      <c r="A274">
        <v>271</v>
      </c>
      <c r="G274">
        <v>1283.8</v>
      </c>
      <c r="H274">
        <v>13.5</v>
      </c>
      <c r="I274">
        <v>13.7</v>
      </c>
      <c r="J274"/>
    </row>
    <row r="275" spans="1:11">
      <c r="A275">
        <v>272</v>
      </c>
      <c r="G275">
        <v>1350.5</v>
      </c>
      <c r="H275">
        <v>7.6</v>
      </c>
      <c r="I275">
        <v>11.7</v>
      </c>
      <c r="J275"/>
    </row>
    <row r="276" spans="1:11">
      <c r="A276">
        <v>273</v>
      </c>
      <c r="B276">
        <v>0.12</v>
      </c>
      <c r="C276">
        <v>6.1</v>
      </c>
      <c r="D276">
        <v>0</v>
      </c>
      <c r="E276">
        <v>1.5</v>
      </c>
      <c r="F276">
        <f>100-B276-C276-D276-E276</f>
        <v>92.28</v>
      </c>
      <c r="G276">
        <v>957.5</v>
      </c>
      <c r="H276">
        <v>27.5</v>
      </c>
      <c r="I276">
        <v>37.200000000000003</v>
      </c>
      <c r="J276" t="s">
        <v>47</v>
      </c>
      <c r="K276" t="s">
        <v>46</v>
      </c>
    </row>
    <row r="277" spans="1:11">
      <c r="A277">
        <v>274</v>
      </c>
      <c r="G277">
        <v>992.8</v>
      </c>
      <c r="H277">
        <v>26.4</v>
      </c>
      <c r="I277">
        <v>34.799999999999997</v>
      </c>
      <c r="J277"/>
    </row>
    <row r="278" spans="1:11">
      <c r="A278">
        <v>275</v>
      </c>
      <c r="G278">
        <v>1105</v>
      </c>
      <c r="H278">
        <v>22.8</v>
      </c>
      <c r="I278">
        <v>29.4</v>
      </c>
      <c r="J278"/>
    </row>
    <row r="279" spans="1:11">
      <c r="A279">
        <v>276</v>
      </c>
      <c r="G279">
        <v>1083</v>
      </c>
      <c r="H279">
        <v>28.6</v>
      </c>
      <c r="I279">
        <v>32.5</v>
      </c>
      <c r="J279"/>
    </row>
    <row r="280" spans="1:11">
      <c r="A280">
        <v>277</v>
      </c>
      <c r="B280">
        <v>0.11</v>
      </c>
      <c r="C280">
        <v>4.8600000000000003</v>
      </c>
      <c r="D280">
        <v>0</v>
      </c>
      <c r="E280">
        <v>0</v>
      </c>
      <c r="F280">
        <f>100-B280-C280-D280-E280</f>
        <v>95.03</v>
      </c>
      <c r="G280">
        <v>780</v>
      </c>
      <c r="H280">
        <v>10.1</v>
      </c>
      <c r="I280">
        <v>21.7</v>
      </c>
      <c r="J280" t="s">
        <v>359</v>
      </c>
      <c r="K280" t="s">
        <v>50</v>
      </c>
    </row>
    <row r="281" spans="1:11">
      <c r="A281">
        <v>278</v>
      </c>
      <c r="G281">
        <v>760</v>
      </c>
      <c r="H281">
        <v>11.6</v>
      </c>
      <c r="I281">
        <v>22.8</v>
      </c>
      <c r="J281"/>
    </row>
    <row r="282" spans="1:11">
      <c r="A282">
        <v>279</v>
      </c>
      <c r="G282">
        <v>821</v>
      </c>
      <c r="H282">
        <v>24.3</v>
      </c>
      <c r="I282">
        <v>32.799999999999997</v>
      </c>
      <c r="J282"/>
    </row>
    <row r="283" spans="1:11">
      <c r="A283">
        <v>280</v>
      </c>
      <c r="G283">
        <v>1039</v>
      </c>
      <c r="H283">
        <v>15.6</v>
      </c>
      <c r="I283">
        <v>23.5</v>
      </c>
      <c r="J283"/>
    </row>
    <row r="284" spans="1:11">
      <c r="A284">
        <v>281</v>
      </c>
      <c r="B284">
        <v>0.17</v>
      </c>
      <c r="C284">
        <v>4.72</v>
      </c>
      <c r="D284">
        <v>0</v>
      </c>
      <c r="E284">
        <v>0</v>
      </c>
      <c r="F284">
        <f>100-B284-C284-D284-E284</f>
        <v>95.11</v>
      </c>
      <c r="G284">
        <v>785</v>
      </c>
      <c r="H284">
        <v>11.3</v>
      </c>
      <c r="I284">
        <v>35.799999999999997</v>
      </c>
      <c r="J284"/>
    </row>
    <row r="285" spans="1:11">
      <c r="A285">
        <v>282</v>
      </c>
      <c r="G285">
        <v>895</v>
      </c>
      <c r="H285">
        <v>19.2</v>
      </c>
      <c r="I285">
        <v>35</v>
      </c>
      <c r="J285"/>
    </row>
    <row r="286" spans="1:11">
      <c r="A286">
        <v>283</v>
      </c>
      <c r="G286">
        <v>1059</v>
      </c>
      <c r="H286">
        <v>9.3000000000000007</v>
      </c>
      <c r="I286">
        <v>24.8</v>
      </c>
      <c r="J286"/>
    </row>
    <row r="287" spans="1:11">
      <c r="A287">
        <v>284</v>
      </c>
      <c r="G287">
        <v>1252</v>
      </c>
      <c r="H287">
        <v>9</v>
      </c>
      <c r="I287">
        <v>20</v>
      </c>
      <c r="J287"/>
    </row>
    <row r="288" spans="1:11">
      <c r="A288">
        <v>285</v>
      </c>
      <c r="B288">
        <v>0.28000000000000003</v>
      </c>
      <c r="C288">
        <v>9.33</v>
      </c>
      <c r="D288">
        <v>2.6</v>
      </c>
      <c r="E288">
        <v>0</v>
      </c>
      <c r="F288">
        <f>100-B288-C288-D288-E288</f>
        <v>87.79</v>
      </c>
      <c r="G288">
        <v>959</v>
      </c>
      <c r="H288">
        <v>34.299999999999997</v>
      </c>
      <c r="I288">
        <v>34.5</v>
      </c>
      <c r="J288" t="s">
        <v>371</v>
      </c>
      <c r="K288" t="s">
        <v>118</v>
      </c>
    </row>
    <row r="289" spans="1:11">
      <c r="A289">
        <v>286</v>
      </c>
      <c r="B289">
        <v>0.2</v>
      </c>
      <c r="C289">
        <v>5</v>
      </c>
      <c r="D289">
        <v>0</v>
      </c>
      <c r="E289">
        <v>0</v>
      </c>
      <c r="F289">
        <f t="shared" ref="F289:F295" si="3">100-B289-C289-D289-E289</f>
        <v>94.8</v>
      </c>
      <c r="G289">
        <v>934.7</v>
      </c>
      <c r="H289">
        <v>10.199999999999999</v>
      </c>
      <c r="I289">
        <v>20.7</v>
      </c>
      <c r="J289" t="s">
        <v>372</v>
      </c>
      <c r="K289" t="s">
        <v>88</v>
      </c>
    </row>
    <row r="290" spans="1:11">
      <c r="A290">
        <v>287</v>
      </c>
      <c r="G290">
        <v>893.1</v>
      </c>
      <c r="H290">
        <v>18.399999999999999</v>
      </c>
      <c r="I290">
        <v>29</v>
      </c>
      <c r="J290"/>
    </row>
    <row r="291" spans="1:11">
      <c r="A291">
        <v>288</v>
      </c>
      <c r="G291">
        <v>879.2</v>
      </c>
      <c r="H291">
        <v>19.8</v>
      </c>
      <c r="I291">
        <v>30</v>
      </c>
      <c r="J291"/>
    </row>
    <row r="292" spans="1:11">
      <c r="A292">
        <v>289</v>
      </c>
      <c r="G292">
        <v>887.1</v>
      </c>
      <c r="H292">
        <v>28.6</v>
      </c>
      <c r="I292">
        <v>36.4</v>
      </c>
      <c r="J292"/>
    </row>
    <row r="293" spans="1:11">
      <c r="A293">
        <v>290</v>
      </c>
      <c r="G293">
        <v>920.8</v>
      </c>
      <c r="H293">
        <v>33.6</v>
      </c>
      <c r="I293">
        <v>39.6</v>
      </c>
      <c r="J293"/>
    </row>
    <row r="294" spans="1:11">
      <c r="A294">
        <v>291</v>
      </c>
      <c r="G294">
        <v>912.9</v>
      </c>
      <c r="H294">
        <v>37.5</v>
      </c>
      <c r="I294">
        <v>44</v>
      </c>
      <c r="J294"/>
    </row>
    <row r="295" spans="1:11">
      <c r="A295">
        <v>292</v>
      </c>
      <c r="B295">
        <v>0.18</v>
      </c>
      <c r="C295">
        <v>6.4</v>
      </c>
      <c r="D295">
        <v>2.8</v>
      </c>
      <c r="E295">
        <v>0.5</v>
      </c>
      <c r="F295">
        <f t="shared" si="3"/>
        <v>90.11999999999999</v>
      </c>
      <c r="G295">
        <v>717</v>
      </c>
      <c r="H295">
        <v>18.600000000000001</v>
      </c>
      <c r="I295">
        <v>32.700000000000003</v>
      </c>
      <c r="J295" t="s">
        <v>54</v>
      </c>
      <c r="K295" t="s">
        <v>55</v>
      </c>
    </row>
    <row r="296" spans="1:11">
      <c r="A296">
        <v>293</v>
      </c>
      <c r="G296">
        <v>737</v>
      </c>
      <c r="H296">
        <v>40.5</v>
      </c>
      <c r="I296">
        <v>48.3</v>
      </c>
      <c r="J296"/>
    </row>
    <row r="297" spans="1:11">
      <c r="A297">
        <v>294</v>
      </c>
      <c r="G297">
        <v>753</v>
      </c>
      <c r="H297">
        <v>45.5</v>
      </c>
      <c r="I297">
        <v>52.5</v>
      </c>
      <c r="J297"/>
    </row>
    <row r="298" spans="1:11">
      <c r="A298">
        <v>295</v>
      </c>
      <c r="G298">
        <v>762</v>
      </c>
      <c r="H298">
        <v>44.7</v>
      </c>
      <c r="I298">
        <v>50.7</v>
      </c>
      <c r="J298"/>
    </row>
    <row r="299" spans="1:11">
      <c r="A299">
        <v>296</v>
      </c>
      <c r="G299">
        <v>1018</v>
      </c>
      <c r="H299">
        <v>21.9</v>
      </c>
      <c r="I299">
        <v>27.4</v>
      </c>
      <c r="J299"/>
    </row>
    <row r="300" spans="1:11">
      <c r="A300">
        <v>297</v>
      </c>
      <c r="G300">
        <v>910</v>
      </c>
      <c r="H300">
        <v>33.799999999999997</v>
      </c>
      <c r="I300">
        <v>38.799999999999997</v>
      </c>
      <c r="J300"/>
    </row>
    <row r="301" spans="1:11">
      <c r="A301">
        <v>298</v>
      </c>
      <c r="G301">
        <v>914</v>
      </c>
      <c r="H301">
        <v>36.200000000000003</v>
      </c>
      <c r="I301">
        <v>40.4</v>
      </c>
      <c r="J301"/>
    </row>
    <row r="302" spans="1:11">
      <c r="A302">
        <v>299</v>
      </c>
      <c r="G302">
        <v>955</v>
      </c>
      <c r="H302">
        <v>34.6</v>
      </c>
      <c r="I302">
        <v>39.200000000000003</v>
      </c>
      <c r="J302"/>
    </row>
    <row r="303" spans="1:11">
      <c r="A303">
        <v>300</v>
      </c>
      <c r="G303">
        <v>961</v>
      </c>
      <c r="H303">
        <v>28.3</v>
      </c>
      <c r="I303">
        <v>33.299999999999997</v>
      </c>
      <c r="J303"/>
    </row>
    <row r="304" spans="1:11">
      <c r="A304">
        <v>301</v>
      </c>
      <c r="B304">
        <v>0.12</v>
      </c>
      <c r="C304">
        <v>5.13</v>
      </c>
      <c r="D304">
        <v>0</v>
      </c>
      <c r="E304">
        <v>8.9999999999999993E-3</v>
      </c>
      <c r="F304">
        <f>100-B304-C304-D304-E304</f>
        <v>94.741</v>
      </c>
      <c r="G304">
        <v>753</v>
      </c>
      <c r="H304">
        <v>9.1</v>
      </c>
      <c r="I304">
        <v>17</v>
      </c>
      <c r="J304" t="s">
        <v>60</v>
      </c>
      <c r="K304" t="s">
        <v>61</v>
      </c>
    </row>
    <row r="305" spans="1:10">
      <c r="A305">
        <v>302</v>
      </c>
      <c r="G305">
        <v>785</v>
      </c>
      <c r="H305">
        <v>11.2</v>
      </c>
      <c r="I305">
        <v>18.3</v>
      </c>
      <c r="J305"/>
    </row>
    <row r="306" spans="1:10">
      <c r="A306">
        <v>303</v>
      </c>
      <c r="G306">
        <v>802</v>
      </c>
      <c r="H306">
        <v>28.6</v>
      </c>
      <c r="I306">
        <v>33.6</v>
      </c>
      <c r="J306"/>
    </row>
    <row r="307" spans="1:10">
      <c r="A307">
        <v>304</v>
      </c>
      <c r="G307">
        <v>1013</v>
      </c>
      <c r="H307">
        <v>17.600000000000001</v>
      </c>
      <c r="I307">
        <v>23.5</v>
      </c>
      <c r="J307"/>
    </row>
    <row r="308" spans="1:10">
      <c r="A308">
        <v>305</v>
      </c>
      <c r="G308">
        <v>1205</v>
      </c>
      <c r="H308">
        <v>10.8</v>
      </c>
      <c r="I308">
        <v>17.600000000000001</v>
      </c>
      <c r="J308"/>
    </row>
    <row r="309" spans="1:10">
      <c r="A309">
        <v>306</v>
      </c>
      <c r="G309">
        <v>1408</v>
      </c>
      <c r="H309">
        <v>4.2</v>
      </c>
      <c r="I309">
        <v>8.4</v>
      </c>
      <c r="J309"/>
    </row>
    <row r="310" spans="1:10">
      <c r="A310">
        <v>307</v>
      </c>
      <c r="G310">
        <v>719</v>
      </c>
      <c r="H310">
        <v>9.9</v>
      </c>
      <c r="I310">
        <v>17.7</v>
      </c>
      <c r="J310"/>
    </row>
    <row r="311" spans="1:10">
      <c r="A311">
        <v>308</v>
      </c>
      <c r="G311">
        <v>762</v>
      </c>
      <c r="H311">
        <v>11.9</v>
      </c>
      <c r="I311">
        <v>19.100000000000001</v>
      </c>
      <c r="J311"/>
    </row>
    <row r="312" spans="1:10">
      <c r="A312">
        <v>309</v>
      </c>
      <c r="G312">
        <v>818</v>
      </c>
      <c r="H312">
        <v>24.9</v>
      </c>
      <c r="I312">
        <v>32.799999999999997</v>
      </c>
      <c r="J312"/>
    </row>
    <row r="313" spans="1:10">
      <c r="A313">
        <v>310</v>
      </c>
      <c r="G313">
        <v>989</v>
      </c>
      <c r="H313">
        <v>20.9</v>
      </c>
      <c r="I313">
        <v>27.2</v>
      </c>
      <c r="J313"/>
    </row>
    <row r="314" spans="1:10">
      <c r="A314">
        <v>311</v>
      </c>
      <c r="G314">
        <v>1176</v>
      </c>
      <c r="H314">
        <v>15.6</v>
      </c>
      <c r="I314">
        <v>23</v>
      </c>
      <c r="J314"/>
    </row>
    <row r="315" spans="1:10">
      <c r="A315">
        <v>312</v>
      </c>
      <c r="G315">
        <v>1203</v>
      </c>
      <c r="H315">
        <v>5.0999999999999996</v>
      </c>
      <c r="I315">
        <v>11</v>
      </c>
      <c r="J315"/>
    </row>
    <row r="316" spans="1:10">
      <c r="A316">
        <v>313</v>
      </c>
      <c r="B316">
        <v>0.1</v>
      </c>
      <c r="C316">
        <v>5.25</v>
      </c>
      <c r="D316">
        <v>0</v>
      </c>
      <c r="E316">
        <v>2.09</v>
      </c>
      <c r="F316">
        <f>100-B316-C316-D316-E316</f>
        <v>92.56</v>
      </c>
      <c r="G316">
        <v>919</v>
      </c>
      <c r="H316">
        <v>13.1</v>
      </c>
      <c r="I316">
        <v>20.8</v>
      </c>
      <c r="J316"/>
    </row>
    <row r="317" spans="1:10">
      <c r="A317">
        <v>314</v>
      </c>
      <c r="G317">
        <v>943</v>
      </c>
      <c r="H317">
        <v>14.1</v>
      </c>
      <c r="I317">
        <v>21.3</v>
      </c>
      <c r="J317"/>
    </row>
    <row r="318" spans="1:10">
      <c r="A318">
        <v>315</v>
      </c>
      <c r="G318">
        <v>1004</v>
      </c>
      <c r="H318">
        <v>29.1</v>
      </c>
      <c r="I318">
        <v>39</v>
      </c>
      <c r="J318"/>
    </row>
    <row r="319" spans="1:10">
      <c r="A319">
        <v>316</v>
      </c>
      <c r="G319">
        <v>1071</v>
      </c>
      <c r="H319">
        <v>25</v>
      </c>
      <c r="I319">
        <v>30.8</v>
      </c>
      <c r="J319"/>
    </row>
    <row r="320" spans="1:10">
      <c r="A320">
        <v>317</v>
      </c>
      <c r="G320">
        <v>1239</v>
      </c>
      <c r="H320">
        <v>17.600000000000001</v>
      </c>
      <c r="I320">
        <v>24.9</v>
      </c>
      <c r="J320"/>
    </row>
    <row r="321" spans="1:11">
      <c r="A321">
        <v>318</v>
      </c>
      <c r="G321">
        <v>1589</v>
      </c>
      <c r="H321">
        <v>4.3</v>
      </c>
      <c r="I321">
        <v>8.8000000000000007</v>
      </c>
      <c r="J321"/>
    </row>
    <row r="322" spans="1:11">
      <c r="A322">
        <v>319</v>
      </c>
      <c r="G322">
        <v>898</v>
      </c>
      <c r="H322">
        <v>13.9</v>
      </c>
      <c r="I322">
        <v>20</v>
      </c>
      <c r="J322"/>
    </row>
    <row r="323" spans="1:11">
      <c r="A323">
        <v>320</v>
      </c>
      <c r="G323">
        <v>922</v>
      </c>
      <c r="H323">
        <v>14.9</v>
      </c>
      <c r="I323">
        <v>20.7</v>
      </c>
      <c r="J323"/>
    </row>
    <row r="324" spans="1:11">
      <c r="A324">
        <v>321</v>
      </c>
      <c r="G324">
        <v>981</v>
      </c>
      <c r="H324">
        <v>22.4</v>
      </c>
      <c r="I324">
        <v>30</v>
      </c>
      <c r="J324"/>
    </row>
    <row r="325" spans="1:11">
      <c r="A325">
        <v>322</v>
      </c>
      <c r="G325">
        <v>1050</v>
      </c>
      <c r="H325">
        <v>28</v>
      </c>
      <c r="I325">
        <v>33.9</v>
      </c>
      <c r="J325"/>
    </row>
    <row r="326" spans="1:11">
      <c r="A326">
        <v>323</v>
      </c>
      <c r="G326">
        <v>1174</v>
      </c>
      <c r="H326">
        <v>18.5</v>
      </c>
      <c r="I326">
        <v>23.1</v>
      </c>
      <c r="J326"/>
    </row>
    <row r="327" spans="1:11">
      <c r="A327">
        <v>324</v>
      </c>
      <c r="G327">
        <v>1385</v>
      </c>
      <c r="H327">
        <v>7.8</v>
      </c>
      <c r="I327">
        <v>12.8</v>
      </c>
      <c r="J327"/>
    </row>
    <row r="328" spans="1:11">
      <c r="A328">
        <v>325</v>
      </c>
      <c r="B328">
        <v>0.1</v>
      </c>
      <c r="C328">
        <v>5.25</v>
      </c>
      <c r="D328">
        <v>0</v>
      </c>
      <c r="E328">
        <v>2.09</v>
      </c>
      <c r="F328">
        <f>100-B328-C328-D328-E328</f>
        <v>92.56</v>
      </c>
      <c r="G328">
        <v>998</v>
      </c>
      <c r="H328">
        <v>9.5</v>
      </c>
      <c r="I328">
        <v>16.100000000000001</v>
      </c>
      <c r="J328"/>
    </row>
    <row r="329" spans="1:11">
      <c r="A329">
        <v>326</v>
      </c>
      <c r="G329">
        <v>914</v>
      </c>
      <c r="H329">
        <v>11.1</v>
      </c>
      <c r="I329">
        <v>17.2</v>
      </c>
      <c r="J329"/>
    </row>
    <row r="330" spans="1:11">
      <c r="A330">
        <v>327</v>
      </c>
      <c r="G330">
        <v>978</v>
      </c>
      <c r="H330">
        <v>14.5</v>
      </c>
      <c r="I330">
        <v>22.8</v>
      </c>
      <c r="J330"/>
    </row>
    <row r="331" spans="1:11">
      <c r="A331">
        <v>328</v>
      </c>
      <c r="G331">
        <v>1079</v>
      </c>
      <c r="H331">
        <v>24</v>
      </c>
      <c r="I331">
        <v>30.2</v>
      </c>
      <c r="J331"/>
    </row>
    <row r="332" spans="1:11">
      <c r="A332">
        <v>329</v>
      </c>
      <c r="G332">
        <v>1240</v>
      </c>
      <c r="H332">
        <v>13.4</v>
      </c>
      <c r="I332">
        <v>18.100000000000001</v>
      </c>
      <c r="J332"/>
    </row>
    <row r="333" spans="1:11">
      <c r="A333">
        <v>330</v>
      </c>
      <c r="G333">
        <v>1438</v>
      </c>
      <c r="H333">
        <v>2.2999999999999998</v>
      </c>
      <c r="I333">
        <v>4.4000000000000004</v>
      </c>
      <c r="J333"/>
    </row>
    <row r="334" spans="1:11">
      <c r="A334">
        <v>331</v>
      </c>
      <c r="B334">
        <v>1.0999999999999999E-2</v>
      </c>
      <c r="C334">
        <v>5.22</v>
      </c>
      <c r="D334">
        <v>1.9E-2</v>
      </c>
      <c r="E334">
        <v>6.0000000000000001E-3</v>
      </c>
      <c r="F334">
        <f>100-B334-C334-D334-E334</f>
        <v>94.744</v>
      </c>
      <c r="G334">
        <v>792</v>
      </c>
      <c r="H334">
        <v>12.2</v>
      </c>
      <c r="I334" t="s">
        <v>48</v>
      </c>
      <c r="J334" t="s">
        <v>62</v>
      </c>
      <c r="K334" t="s">
        <v>337</v>
      </c>
    </row>
    <row r="335" spans="1:11">
      <c r="A335">
        <v>332</v>
      </c>
      <c r="G335">
        <v>825</v>
      </c>
      <c r="H335">
        <v>9.8000000000000007</v>
      </c>
      <c r="I335" t="s">
        <v>48</v>
      </c>
      <c r="J335"/>
    </row>
    <row r="336" spans="1:11">
      <c r="A336">
        <v>333</v>
      </c>
      <c r="B336">
        <v>7.4999999999999997E-2</v>
      </c>
      <c r="C336">
        <v>5.24</v>
      </c>
      <c r="D336">
        <v>5.6000000000000001E-2</v>
      </c>
      <c r="E336">
        <v>6.0000000000000001E-3</v>
      </c>
      <c r="F336">
        <f t="shared" ref="F336:F344" si="4">100-B336-C336-D336-E336</f>
        <v>94.623000000000005</v>
      </c>
      <c r="G336">
        <v>887</v>
      </c>
      <c r="H336">
        <v>17.899999999999999</v>
      </c>
      <c r="I336" t="s">
        <v>48</v>
      </c>
      <c r="J336"/>
    </row>
    <row r="337" spans="1:11">
      <c r="A337">
        <v>334</v>
      </c>
      <c r="G337">
        <v>887</v>
      </c>
      <c r="H337">
        <v>15.9</v>
      </c>
      <c r="I337" t="s">
        <v>48</v>
      </c>
      <c r="J337"/>
    </row>
    <row r="338" spans="1:11">
      <c r="A338">
        <v>335</v>
      </c>
      <c r="B338">
        <v>0.12</v>
      </c>
      <c r="C338">
        <v>5.0999999999999996</v>
      </c>
      <c r="D338">
        <v>6.4000000000000001E-2</v>
      </c>
      <c r="E338">
        <v>8.9999999999999993E-3</v>
      </c>
      <c r="F338">
        <f t="shared" si="4"/>
        <v>94.707000000000008</v>
      </c>
      <c r="G338">
        <v>1104</v>
      </c>
      <c r="H338">
        <v>22.9</v>
      </c>
      <c r="I338" t="s">
        <v>48</v>
      </c>
      <c r="J338"/>
    </row>
    <row r="339" spans="1:11">
      <c r="A339">
        <v>336</v>
      </c>
      <c r="G339">
        <v>1045</v>
      </c>
      <c r="H339">
        <v>23.5</v>
      </c>
      <c r="I339" t="s">
        <v>48</v>
      </c>
      <c r="J339"/>
    </row>
    <row r="340" spans="1:11">
      <c r="A340">
        <v>337</v>
      </c>
      <c r="B340">
        <v>0.3</v>
      </c>
      <c r="C340">
        <v>5.0599999999999996</v>
      </c>
      <c r="D340">
        <v>2.1999999999999999E-2</v>
      </c>
      <c r="E340">
        <v>1.9E-2</v>
      </c>
      <c r="F340">
        <f t="shared" si="4"/>
        <v>94.59899999999999</v>
      </c>
      <c r="G340">
        <v>1368</v>
      </c>
      <c r="H340">
        <v>15.2</v>
      </c>
      <c r="I340" t="s">
        <v>48</v>
      </c>
      <c r="J340"/>
    </row>
    <row r="341" spans="1:11">
      <c r="A341">
        <v>338</v>
      </c>
      <c r="G341">
        <v>1586</v>
      </c>
      <c r="H341">
        <v>21.4</v>
      </c>
      <c r="I341" t="s">
        <v>48</v>
      </c>
      <c r="J341"/>
    </row>
    <row r="342" spans="1:11">
      <c r="A342">
        <v>339</v>
      </c>
      <c r="B342">
        <v>0.4</v>
      </c>
      <c r="C342">
        <v>5.17</v>
      </c>
      <c r="D342">
        <v>2.9000000000000001E-2</v>
      </c>
      <c r="E342">
        <v>8.0000000000000002E-3</v>
      </c>
      <c r="F342">
        <f t="shared" si="4"/>
        <v>94.393000000000001</v>
      </c>
      <c r="G342">
        <v>1528</v>
      </c>
      <c r="H342">
        <v>9.9</v>
      </c>
      <c r="I342" t="s">
        <v>48</v>
      </c>
      <c r="J342"/>
    </row>
    <row r="343" spans="1:11">
      <c r="A343">
        <v>340</v>
      </c>
      <c r="G343">
        <v>1696</v>
      </c>
      <c r="H343">
        <v>19.8</v>
      </c>
      <c r="I343" t="s">
        <v>48</v>
      </c>
      <c r="J343"/>
    </row>
    <row r="344" spans="1:11">
      <c r="A344">
        <v>341</v>
      </c>
      <c r="B344">
        <v>0.3</v>
      </c>
      <c r="C344">
        <v>4</v>
      </c>
      <c r="D344">
        <v>1.82</v>
      </c>
      <c r="E344">
        <v>0.6</v>
      </c>
      <c r="F344">
        <f t="shared" si="4"/>
        <v>93.280000000000015</v>
      </c>
      <c r="G344">
        <v>858.8</v>
      </c>
      <c r="H344">
        <v>13.4</v>
      </c>
      <c r="I344">
        <v>27.9</v>
      </c>
      <c r="J344" t="s">
        <v>123</v>
      </c>
      <c r="K344" t="s">
        <v>68</v>
      </c>
    </row>
    <row r="345" spans="1:11">
      <c r="A345">
        <v>342</v>
      </c>
      <c r="G345">
        <v>886</v>
      </c>
      <c r="H345">
        <v>49.2</v>
      </c>
      <c r="I345">
        <v>56.9</v>
      </c>
      <c r="J345"/>
    </row>
    <row r="346" spans="1:11">
      <c r="A346">
        <v>343</v>
      </c>
      <c r="G346">
        <v>1005.1</v>
      </c>
      <c r="H346">
        <v>37.5</v>
      </c>
      <c r="I346">
        <v>47.6</v>
      </c>
      <c r="J346"/>
    </row>
    <row r="347" spans="1:11">
      <c r="A347">
        <v>344</v>
      </c>
      <c r="G347">
        <v>1124.2</v>
      </c>
      <c r="H347">
        <v>25.1</v>
      </c>
      <c r="I347">
        <v>33</v>
      </c>
      <c r="J347"/>
    </row>
    <row r="348" spans="1:11">
      <c r="A348">
        <v>345</v>
      </c>
      <c r="G348">
        <v>1230.7</v>
      </c>
      <c r="H348">
        <v>16.5</v>
      </c>
      <c r="I348">
        <v>23.2</v>
      </c>
      <c r="J348"/>
    </row>
    <row r="349" spans="1:11">
      <c r="A349">
        <v>346</v>
      </c>
      <c r="G349">
        <v>1310.0999999999999</v>
      </c>
      <c r="H349">
        <v>11.5</v>
      </c>
      <c r="I349">
        <v>18.399999999999999</v>
      </c>
      <c r="J349"/>
    </row>
    <row r="350" spans="1:11">
      <c r="A350">
        <v>347</v>
      </c>
      <c r="B350">
        <v>0.19</v>
      </c>
      <c r="C350">
        <v>4.0199999999999996</v>
      </c>
      <c r="D350">
        <v>3.1E-2</v>
      </c>
      <c r="E350">
        <v>0.5</v>
      </c>
      <c r="F350">
        <f>100-B350-C350-D350-E350</f>
        <v>95.259</v>
      </c>
      <c r="G350">
        <v>1514</v>
      </c>
      <c r="H350">
        <v>4.0999999999999996</v>
      </c>
      <c r="I350">
        <v>12.3</v>
      </c>
      <c r="J350" t="s">
        <v>373</v>
      </c>
      <c r="K350" t="s">
        <v>71</v>
      </c>
    </row>
    <row r="351" spans="1:11">
      <c r="A351">
        <v>348</v>
      </c>
      <c r="G351">
        <v>969</v>
      </c>
      <c r="H351">
        <v>5.6</v>
      </c>
      <c r="I351">
        <v>15.5</v>
      </c>
      <c r="J351"/>
    </row>
    <row r="352" spans="1:11">
      <c r="A352">
        <v>349</v>
      </c>
      <c r="G352">
        <v>942</v>
      </c>
      <c r="H352">
        <v>6.8</v>
      </c>
      <c r="I352">
        <v>17.100000000000001</v>
      </c>
      <c r="J352"/>
    </row>
    <row r="353" spans="1:11">
      <c r="A353">
        <v>350</v>
      </c>
      <c r="G353">
        <v>927</v>
      </c>
      <c r="H353">
        <v>14.6</v>
      </c>
      <c r="I353">
        <v>23.9</v>
      </c>
      <c r="J353"/>
    </row>
    <row r="354" spans="1:11">
      <c r="A354">
        <v>351</v>
      </c>
      <c r="G354">
        <v>1111</v>
      </c>
      <c r="H354">
        <v>20.2</v>
      </c>
      <c r="I354">
        <v>26.8</v>
      </c>
      <c r="J354"/>
    </row>
    <row r="355" spans="1:11">
      <c r="A355">
        <v>352</v>
      </c>
      <c r="B355">
        <v>0.17</v>
      </c>
      <c r="C355">
        <v>3.99</v>
      </c>
      <c r="D355">
        <v>2.5000000000000001E-2</v>
      </c>
      <c r="E355">
        <v>0.5</v>
      </c>
      <c r="F355">
        <f>100-B355-C355-D355-E355</f>
        <v>95.314999999999998</v>
      </c>
      <c r="G355">
        <v>1422</v>
      </c>
      <c r="H355">
        <v>3.7</v>
      </c>
      <c r="I355">
        <v>12.3</v>
      </c>
      <c r="J355"/>
    </row>
    <row r="356" spans="1:11">
      <c r="A356">
        <v>353</v>
      </c>
      <c r="G356">
        <v>946</v>
      </c>
      <c r="H356">
        <v>6.4</v>
      </c>
      <c r="I356">
        <v>16.8</v>
      </c>
      <c r="J356"/>
    </row>
    <row r="357" spans="1:11">
      <c r="A357">
        <v>354</v>
      </c>
      <c r="G357">
        <v>922</v>
      </c>
      <c r="H357">
        <v>7.9</v>
      </c>
      <c r="I357">
        <v>18.100000000000001</v>
      </c>
      <c r="J357"/>
    </row>
    <row r="358" spans="1:11">
      <c r="A358">
        <v>355</v>
      </c>
      <c r="G358">
        <v>901</v>
      </c>
      <c r="H358">
        <v>16.5</v>
      </c>
      <c r="I358">
        <v>27.4</v>
      </c>
      <c r="J358"/>
    </row>
    <row r="359" spans="1:11">
      <c r="A359">
        <v>356</v>
      </c>
      <c r="G359">
        <v>1067</v>
      </c>
      <c r="H359">
        <v>19.3</v>
      </c>
      <c r="I359">
        <v>26.9</v>
      </c>
      <c r="J359"/>
    </row>
    <row r="360" spans="1:11">
      <c r="A360">
        <v>357</v>
      </c>
      <c r="B360">
        <v>0.15</v>
      </c>
      <c r="C360">
        <v>4.0199999999999996</v>
      </c>
      <c r="D360">
        <v>2.7E-2</v>
      </c>
      <c r="E360">
        <v>0.49</v>
      </c>
      <c r="F360">
        <f>100-B360-C360-D360-E360</f>
        <v>95.313000000000002</v>
      </c>
      <c r="G360">
        <v>1374</v>
      </c>
      <c r="H360">
        <v>3.6</v>
      </c>
      <c r="I360">
        <v>12.3</v>
      </c>
      <c r="J360"/>
    </row>
    <row r="361" spans="1:11">
      <c r="A361">
        <v>358</v>
      </c>
      <c r="G361">
        <v>1008</v>
      </c>
      <c r="H361">
        <v>6.6</v>
      </c>
      <c r="I361">
        <v>15.5</v>
      </c>
      <c r="J361"/>
    </row>
    <row r="362" spans="1:11">
      <c r="A362">
        <v>359</v>
      </c>
      <c r="G362">
        <v>979</v>
      </c>
      <c r="H362">
        <v>7.3</v>
      </c>
      <c r="I362">
        <v>16.5</v>
      </c>
      <c r="J362"/>
    </row>
    <row r="363" spans="1:11">
      <c r="A363">
        <v>360</v>
      </c>
      <c r="G363">
        <v>953</v>
      </c>
      <c r="H363">
        <v>14.6</v>
      </c>
      <c r="I363">
        <v>23.9</v>
      </c>
      <c r="J363"/>
    </row>
    <row r="364" spans="1:11">
      <c r="A364">
        <v>361</v>
      </c>
      <c r="G364">
        <v>1113</v>
      </c>
      <c r="H364">
        <v>18.100000000000001</v>
      </c>
      <c r="I364">
        <v>23.3</v>
      </c>
      <c r="J364"/>
    </row>
    <row r="365" spans="1:11">
      <c r="A365">
        <v>362</v>
      </c>
      <c r="B365">
        <v>0.28000000000000003</v>
      </c>
      <c r="C365">
        <v>6.2</v>
      </c>
      <c r="D365">
        <v>0</v>
      </c>
      <c r="E365">
        <v>1.6</v>
      </c>
      <c r="F365">
        <f>100-B365-C365-D365-E365</f>
        <v>91.92</v>
      </c>
      <c r="G365">
        <v>1212.0999999999999</v>
      </c>
      <c r="H365">
        <v>11.8</v>
      </c>
      <c r="I365">
        <v>15.2</v>
      </c>
      <c r="J365" t="s">
        <v>119</v>
      </c>
      <c r="K365" t="s">
        <v>72</v>
      </c>
    </row>
    <row r="366" spans="1:11">
      <c r="A366">
        <v>363</v>
      </c>
      <c r="G366">
        <v>1243.8</v>
      </c>
      <c r="H366">
        <v>23</v>
      </c>
      <c r="I366">
        <v>23</v>
      </c>
      <c r="J366"/>
    </row>
    <row r="367" spans="1:11">
      <c r="A367">
        <v>364</v>
      </c>
      <c r="G367">
        <v>1282.0999999999999</v>
      </c>
      <c r="H367">
        <v>17.899999999999999</v>
      </c>
      <c r="I367">
        <v>17.899999999999999</v>
      </c>
      <c r="J367"/>
    </row>
    <row r="368" spans="1:11">
      <c r="A368">
        <v>365</v>
      </c>
      <c r="B368">
        <v>0.3</v>
      </c>
      <c r="C368">
        <v>9.3000000000000007</v>
      </c>
      <c r="D368">
        <v>2.15</v>
      </c>
      <c r="E368">
        <v>2.8000000000000001E-2</v>
      </c>
      <c r="F368">
        <f>100-B368-C368-D368-E368</f>
        <v>88.221999999999994</v>
      </c>
      <c r="G368">
        <v>1017.2</v>
      </c>
      <c r="H368">
        <v>25.5</v>
      </c>
      <c r="I368">
        <v>33.9</v>
      </c>
      <c r="J368" t="s">
        <v>75</v>
      </c>
      <c r="K368" t="s">
        <v>76</v>
      </c>
    </row>
    <row r="369" spans="1:11">
      <c r="A369">
        <v>366</v>
      </c>
      <c r="G369">
        <v>1111.8</v>
      </c>
      <c r="H369">
        <v>46.8</v>
      </c>
      <c r="I369">
        <v>52.6</v>
      </c>
      <c r="J369"/>
    </row>
    <row r="370" spans="1:11">
      <c r="A370">
        <v>367</v>
      </c>
      <c r="G370">
        <v>1123.3</v>
      </c>
      <c r="H370">
        <v>45.1</v>
      </c>
      <c r="I370">
        <v>55.7</v>
      </c>
      <c r="J370"/>
    </row>
    <row r="371" spans="1:11">
      <c r="A371">
        <v>368</v>
      </c>
      <c r="G371">
        <v>1120.5999999999999</v>
      </c>
      <c r="H371">
        <v>47</v>
      </c>
      <c r="I371">
        <v>52.8</v>
      </c>
      <c r="J371"/>
    </row>
    <row r="372" spans="1:11">
      <c r="A372">
        <v>369</v>
      </c>
      <c r="G372">
        <v>1183.4000000000001</v>
      </c>
      <c r="H372">
        <v>1</v>
      </c>
      <c r="I372">
        <v>1.04</v>
      </c>
      <c r="J372"/>
    </row>
    <row r="373" spans="1:11">
      <c r="A373">
        <v>370</v>
      </c>
      <c r="G373">
        <v>1182.3</v>
      </c>
      <c r="H373">
        <v>11.8</v>
      </c>
      <c r="I373">
        <v>19.8</v>
      </c>
      <c r="J373"/>
    </row>
    <row r="374" spans="1:11">
      <c r="A374">
        <v>371</v>
      </c>
      <c r="G374">
        <v>994.8</v>
      </c>
      <c r="H374">
        <v>30.7</v>
      </c>
      <c r="I374">
        <v>39.700000000000003</v>
      </c>
      <c r="J374"/>
    </row>
    <row r="375" spans="1:11">
      <c r="A375">
        <v>372</v>
      </c>
      <c r="G375">
        <v>969.3</v>
      </c>
      <c r="H375">
        <v>47.1</v>
      </c>
      <c r="I375">
        <v>54.2</v>
      </c>
      <c r="J375"/>
    </row>
    <row r="376" spans="1:11">
      <c r="A376">
        <v>373</v>
      </c>
      <c r="G376">
        <v>1000</v>
      </c>
      <c r="H376">
        <v>48.9</v>
      </c>
      <c r="I376">
        <v>55.7</v>
      </c>
      <c r="J376"/>
    </row>
    <row r="377" spans="1:11">
      <c r="A377">
        <v>374</v>
      </c>
      <c r="B377">
        <v>0.05</v>
      </c>
      <c r="C377">
        <v>5</v>
      </c>
      <c r="D377">
        <v>0</v>
      </c>
      <c r="E377">
        <v>0.2</v>
      </c>
      <c r="F377">
        <f>100-B377-C377-D377-E377</f>
        <v>94.75</v>
      </c>
      <c r="G377">
        <v>863.1</v>
      </c>
      <c r="H377">
        <v>12.8</v>
      </c>
      <c r="I377">
        <v>29.7</v>
      </c>
      <c r="J377" t="s">
        <v>84</v>
      </c>
      <c r="K377" t="s">
        <v>85</v>
      </c>
    </row>
    <row r="378" spans="1:11">
      <c r="A378">
        <v>375</v>
      </c>
      <c r="G378">
        <v>871.9</v>
      </c>
      <c r="H378">
        <v>25</v>
      </c>
      <c r="I378">
        <v>37.9</v>
      </c>
      <c r="J378"/>
    </row>
    <row r="379" spans="1:11">
      <c r="A379">
        <v>376</v>
      </c>
      <c r="G379">
        <v>996.2</v>
      </c>
      <c r="H379">
        <v>18.5</v>
      </c>
      <c r="I379">
        <v>31</v>
      </c>
      <c r="J379"/>
    </row>
    <row r="380" spans="1:11">
      <c r="A380">
        <v>377</v>
      </c>
      <c r="B380">
        <v>0.19</v>
      </c>
      <c r="C380">
        <v>4.99</v>
      </c>
      <c r="D380">
        <v>0</v>
      </c>
      <c r="E380">
        <v>1.98</v>
      </c>
      <c r="F380">
        <f>100-B380-C380-D380-E380</f>
        <v>92.84</v>
      </c>
      <c r="G380">
        <v>1855</v>
      </c>
      <c r="H380">
        <v>4.8</v>
      </c>
      <c r="I380">
        <v>7.2</v>
      </c>
      <c r="J380" t="s">
        <v>86</v>
      </c>
      <c r="K380" t="s">
        <v>87</v>
      </c>
    </row>
    <row r="381" spans="1:11">
      <c r="A381">
        <v>378</v>
      </c>
      <c r="G381">
        <v>1079</v>
      </c>
      <c r="H381">
        <v>32.4</v>
      </c>
      <c r="I381">
        <v>45.1</v>
      </c>
      <c r="J381"/>
    </row>
    <row r="382" spans="1:11">
      <c r="A382">
        <v>379</v>
      </c>
      <c r="G382">
        <v>1617</v>
      </c>
      <c r="H382">
        <v>6.1</v>
      </c>
      <c r="I382">
        <v>16.100000000000001</v>
      </c>
      <c r="J382"/>
    </row>
    <row r="383" spans="1:11">
      <c r="A383">
        <v>380</v>
      </c>
      <c r="G383">
        <v>1228</v>
      </c>
      <c r="H383">
        <v>25.8</v>
      </c>
      <c r="I383">
        <v>26.6</v>
      </c>
      <c r="J383"/>
    </row>
    <row r="384" spans="1:11">
      <c r="A384">
        <v>381</v>
      </c>
      <c r="G384">
        <v>1064</v>
      </c>
      <c r="H384">
        <v>9.1</v>
      </c>
      <c r="I384">
        <v>19.399999999999999</v>
      </c>
      <c r="J384"/>
    </row>
    <row r="385" spans="1:11">
      <c r="A385">
        <v>382</v>
      </c>
      <c r="G385">
        <v>1087</v>
      </c>
      <c r="H385">
        <v>30.3</v>
      </c>
      <c r="I385">
        <v>38</v>
      </c>
      <c r="J385"/>
    </row>
    <row r="386" spans="1:11">
      <c r="A386">
        <v>383</v>
      </c>
      <c r="B386">
        <v>0.56999999999999995</v>
      </c>
      <c r="C386">
        <v>12.4</v>
      </c>
      <c r="D386">
        <v>1.4</v>
      </c>
      <c r="E386">
        <v>0.4</v>
      </c>
      <c r="F386">
        <f>100-B386-C386-D386-E386</f>
        <v>85.22999999999999</v>
      </c>
      <c r="G386">
        <v>1175</v>
      </c>
      <c r="H386">
        <v>17</v>
      </c>
      <c r="I386">
        <v>17</v>
      </c>
      <c r="J386" t="s">
        <v>90</v>
      </c>
      <c r="K386" t="s">
        <v>91</v>
      </c>
    </row>
    <row r="387" spans="1:11">
      <c r="A387">
        <v>384</v>
      </c>
      <c r="G387">
        <v>930</v>
      </c>
      <c r="H387">
        <v>26</v>
      </c>
      <c r="I387">
        <v>27</v>
      </c>
      <c r="J387"/>
    </row>
    <row r="388" spans="1:11">
      <c r="A388">
        <v>385</v>
      </c>
      <c r="G388">
        <v>910</v>
      </c>
      <c r="H388">
        <v>32.299999999999997</v>
      </c>
      <c r="I388">
        <v>33</v>
      </c>
      <c r="J388"/>
    </row>
    <row r="389" spans="1:11">
      <c r="A389">
        <v>386</v>
      </c>
      <c r="G389">
        <v>925</v>
      </c>
      <c r="H389">
        <v>40.299999999999997</v>
      </c>
      <c r="I389">
        <v>40</v>
      </c>
      <c r="J389"/>
    </row>
    <row r="390" spans="1:11">
      <c r="A390">
        <v>387</v>
      </c>
      <c r="G390">
        <v>870</v>
      </c>
      <c r="H390">
        <v>42.5</v>
      </c>
      <c r="I390">
        <v>43</v>
      </c>
      <c r="J390"/>
    </row>
    <row r="391" spans="1:11">
      <c r="A391">
        <v>388</v>
      </c>
      <c r="G391">
        <v>800</v>
      </c>
      <c r="H391">
        <v>44.7</v>
      </c>
      <c r="I391">
        <v>45</v>
      </c>
      <c r="J391"/>
    </row>
    <row r="392" spans="1:11">
      <c r="A392">
        <v>389</v>
      </c>
      <c r="G392">
        <v>770</v>
      </c>
      <c r="H392">
        <v>51</v>
      </c>
      <c r="I392">
        <v>51</v>
      </c>
      <c r="J392"/>
    </row>
    <row r="393" spans="1:11">
      <c r="A393">
        <v>390</v>
      </c>
      <c r="G393">
        <v>710</v>
      </c>
      <c r="H393">
        <v>44.7</v>
      </c>
      <c r="I393">
        <v>46</v>
      </c>
      <c r="J393"/>
    </row>
    <row r="394" spans="1:11">
      <c r="A394">
        <v>391</v>
      </c>
      <c r="B394">
        <v>0.2</v>
      </c>
      <c r="C394">
        <v>4.88</v>
      </c>
      <c r="D394">
        <v>3.11</v>
      </c>
      <c r="E394">
        <v>0.62</v>
      </c>
      <c r="F394">
        <f>100-B394-C394-D394-E394</f>
        <v>91.19</v>
      </c>
      <c r="G394">
        <v>842</v>
      </c>
      <c r="H394">
        <v>54.7</v>
      </c>
      <c r="I394">
        <v>62.2</v>
      </c>
      <c r="J394" t="s">
        <v>374</v>
      </c>
      <c r="K394" t="s">
        <v>40</v>
      </c>
    </row>
    <row r="395" spans="1:11">
      <c r="A395">
        <v>392</v>
      </c>
      <c r="G395">
        <v>866</v>
      </c>
      <c r="H395">
        <v>54.9</v>
      </c>
      <c r="I395">
        <v>59.6</v>
      </c>
      <c r="J395"/>
    </row>
    <row r="396" spans="1:11">
      <c r="A396">
        <v>393</v>
      </c>
      <c r="G396">
        <v>897</v>
      </c>
      <c r="H396">
        <v>50.9</v>
      </c>
      <c r="I396">
        <v>54.8</v>
      </c>
      <c r="J396"/>
    </row>
    <row r="397" spans="1:11">
      <c r="A397">
        <v>394</v>
      </c>
      <c r="G397">
        <v>931</v>
      </c>
      <c r="H397">
        <v>50.1</v>
      </c>
      <c r="I397">
        <v>54.5</v>
      </c>
      <c r="J397"/>
    </row>
    <row r="398" spans="1:11">
      <c r="A398">
        <v>395</v>
      </c>
      <c r="G398">
        <v>1006</v>
      </c>
      <c r="H398">
        <v>46.2</v>
      </c>
      <c r="I398">
        <v>50.2</v>
      </c>
      <c r="J398"/>
    </row>
    <row r="399" spans="1:11">
      <c r="A399">
        <v>396</v>
      </c>
      <c r="G399">
        <v>1054</v>
      </c>
      <c r="H399">
        <v>43.9</v>
      </c>
      <c r="I399">
        <v>49.4</v>
      </c>
      <c r="J399"/>
    </row>
    <row r="400" spans="1:11">
      <c r="A400">
        <v>397</v>
      </c>
      <c r="B400">
        <v>8.3000000000000004E-2</v>
      </c>
      <c r="C400">
        <v>4.62</v>
      </c>
      <c r="D400">
        <v>0</v>
      </c>
      <c r="E400">
        <v>0</v>
      </c>
      <c r="F400">
        <f>100-B400-C400-D400-E400</f>
        <v>95.296999999999997</v>
      </c>
      <c r="G400">
        <v>805</v>
      </c>
      <c r="H400">
        <v>22.4</v>
      </c>
      <c r="I400">
        <v>29.4</v>
      </c>
      <c r="J400" t="s">
        <v>41</v>
      </c>
      <c r="K400" t="s">
        <v>42</v>
      </c>
    </row>
    <row r="401" spans="1:11">
      <c r="A401">
        <v>398</v>
      </c>
      <c r="G401">
        <v>877</v>
      </c>
      <c r="H401">
        <v>23.2</v>
      </c>
      <c r="I401">
        <v>32.4</v>
      </c>
      <c r="J401"/>
    </row>
    <row r="402" spans="1:11">
      <c r="A402">
        <v>399</v>
      </c>
      <c r="G402">
        <v>887</v>
      </c>
      <c r="H402">
        <v>21.1</v>
      </c>
      <c r="I402">
        <v>28.5</v>
      </c>
      <c r="J402"/>
    </row>
    <row r="403" spans="1:11">
      <c r="A403">
        <v>400</v>
      </c>
      <c r="G403">
        <v>947</v>
      </c>
      <c r="H403">
        <v>20.399999999999999</v>
      </c>
      <c r="I403">
        <v>27.7</v>
      </c>
      <c r="J403"/>
    </row>
    <row r="404" spans="1:11">
      <c r="A404">
        <v>401</v>
      </c>
      <c r="G404">
        <v>855</v>
      </c>
      <c r="H404">
        <v>21.5</v>
      </c>
      <c r="I404">
        <v>28.2</v>
      </c>
      <c r="J404"/>
    </row>
    <row r="405" spans="1:11">
      <c r="A405">
        <v>402</v>
      </c>
      <c r="G405">
        <v>922</v>
      </c>
      <c r="H405">
        <v>21.3</v>
      </c>
      <c r="I405">
        <v>29.8</v>
      </c>
      <c r="J405"/>
    </row>
    <row r="406" spans="1:11">
      <c r="A406">
        <v>403</v>
      </c>
      <c r="G406">
        <v>978</v>
      </c>
      <c r="H406">
        <v>18.899999999999999</v>
      </c>
      <c r="I406">
        <v>25.7</v>
      </c>
      <c r="J406"/>
    </row>
    <row r="407" spans="1:11">
      <c r="A407">
        <v>404</v>
      </c>
      <c r="G407">
        <v>959</v>
      </c>
      <c r="H407">
        <v>19.3</v>
      </c>
      <c r="I407">
        <v>25.5</v>
      </c>
      <c r="J407"/>
    </row>
    <row r="408" spans="1:11">
      <c r="A408">
        <v>405</v>
      </c>
      <c r="B408">
        <v>0.2</v>
      </c>
      <c r="C408">
        <v>4.72</v>
      </c>
      <c r="D408">
        <v>0</v>
      </c>
      <c r="E408">
        <v>0</v>
      </c>
      <c r="F408">
        <f>100-B408-C408-D408-E408</f>
        <v>95.08</v>
      </c>
      <c r="G408">
        <v>1040.0999999999999</v>
      </c>
      <c r="H408">
        <v>29.7</v>
      </c>
      <c r="I408">
        <v>35.200000000000003</v>
      </c>
      <c r="J408" t="s">
        <v>375</v>
      </c>
      <c r="K408" t="s">
        <v>51</v>
      </c>
    </row>
    <row r="409" spans="1:11">
      <c r="A409">
        <v>406</v>
      </c>
      <c r="G409">
        <v>1054.2</v>
      </c>
      <c r="H409">
        <v>29.5</v>
      </c>
      <c r="I409">
        <v>34</v>
      </c>
      <c r="J409"/>
    </row>
    <row r="410" spans="1:11">
      <c r="A410">
        <v>407</v>
      </c>
      <c r="G410">
        <v>1180.3</v>
      </c>
      <c r="H410">
        <v>27.3</v>
      </c>
      <c r="I410">
        <v>33.4</v>
      </c>
      <c r="J410"/>
    </row>
    <row r="411" spans="1:11">
      <c r="A411">
        <v>408</v>
      </c>
      <c r="G411">
        <v>1208.0999999999999</v>
      </c>
      <c r="H411">
        <v>25.6</v>
      </c>
      <c r="I411">
        <v>31.2</v>
      </c>
      <c r="J411"/>
    </row>
    <row r="412" spans="1:11">
      <c r="A412">
        <v>409</v>
      </c>
      <c r="G412">
        <v>1250.4000000000001</v>
      </c>
      <c r="H412">
        <v>27.1</v>
      </c>
      <c r="I412">
        <v>31.4</v>
      </c>
      <c r="J412"/>
    </row>
    <row r="413" spans="1:11">
      <c r="A413">
        <v>410</v>
      </c>
      <c r="G413">
        <v>1304.9000000000001</v>
      </c>
      <c r="H413">
        <v>32.700000000000003</v>
      </c>
      <c r="I413">
        <v>36.799999999999997</v>
      </c>
      <c r="J413"/>
    </row>
    <row r="414" spans="1:11">
      <c r="A414">
        <v>411</v>
      </c>
      <c r="B414">
        <v>0.15</v>
      </c>
      <c r="C414">
        <v>7</v>
      </c>
      <c r="D414">
        <v>0</v>
      </c>
      <c r="E414">
        <v>0.2</v>
      </c>
      <c r="F414">
        <f>100-B414-C414-D414-E414</f>
        <v>92.649999999999991</v>
      </c>
      <c r="G414">
        <v>953.6</v>
      </c>
      <c r="H414">
        <v>10.5</v>
      </c>
      <c r="I414">
        <v>20.100000000000001</v>
      </c>
      <c r="J414" t="s">
        <v>376</v>
      </c>
      <c r="K414" t="s">
        <v>95</v>
      </c>
    </row>
    <row r="415" spans="1:11">
      <c r="A415">
        <v>412</v>
      </c>
      <c r="G415">
        <v>1216</v>
      </c>
      <c r="H415">
        <v>23.4</v>
      </c>
      <c r="I415">
        <v>27.5</v>
      </c>
      <c r="J415"/>
    </row>
    <row r="416" spans="1:11">
      <c r="A416">
        <v>413</v>
      </c>
      <c r="G416">
        <v>1281.0999999999999</v>
      </c>
      <c r="H416">
        <v>15.7</v>
      </c>
      <c r="I416">
        <v>17.899999999999999</v>
      </c>
      <c r="J416"/>
    </row>
    <row r="417" spans="1:11">
      <c r="A417">
        <v>414</v>
      </c>
      <c r="G417">
        <v>984.2</v>
      </c>
      <c r="H417">
        <v>29.3</v>
      </c>
      <c r="I417">
        <v>36.9</v>
      </c>
      <c r="J417"/>
    </row>
    <row r="418" spans="1:11">
      <c r="A418">
        <v>415</v>
      </c>
      <c r="G418">
        <v>1113.8</v>
      </c>
      <c r="H418">
        <v>26</v>
      </c>
      <c r="I418">
        <v>31.6</v>
      </c>
      <c r="J418"/>
    </row>
    <row r="419" spans="1:11">
      <c r="A419">
        <v>416</v>
      </c>
      <c r="G419">
        <v>1200</v>
      </c>
      <c r="H419">
        <v>28.9</v>
      </c>
      <c r="I419">
        <v>32.700000000000003</v>
      </c>
      <c r="J419"/>
    </row>
    <row r="420" spans="1:11">
      <c r="A420">
        <v>417</v>
      </c>
      <c r="G420">
        <v>1156.8</v>
      </c>
      <c r="H420">
        <v>29.4</v>
      </c>
      <c r="I420">
        <v>35.299999999999997</v>
      </c>
      <c r="J420"/>
    </row>
    <row r="421" spans="1:11">
      <c r="A421">
        <v>418</v>
      </c>
      <c r="G421">
        <v>1284.5999999999999</v>
      </c>
      <c r="H421">
        <v>19.100000000000001</v>
      </c>
      <c r="I421">
        <v>19.399999999999999</v>
      </c>
      <c r="J421"/>
    </row>
    <row r="422" spans="1:11">
      <c r="A422">
        <v>419</v>
      </c>
      <c r="B422">
        <v>0.15</v>
      </c>
      <c r="C422">
        <v>7</v>
      </c>
      <c r="D422">
        <v>1</v>
      </c>
      <c r="E422">
        <v>0.3</v>
      </c>
      <c r="F422">
        <f>100-B422-C422-D422-E422</f>
        <v>91.55</v>
      </c>
      <c r="G422">
        <v>1667.5</v>
      </c>
      <c r="H422">
        <v>4.5999999999999996</v>
      </c>
      <c r="I422">
        <v>12.3</v>
      </c>
      <c r="J422" t="s">
        <v>377</v>
      </c>
      <c r="K422" t="s">
        <v>83</v>
      </c>
    </row>
    <row r="423" spans="1:11">
      <c r="A423">
        <v>420</v>
      </c>
      <c r="G423">
        <v>1801.7</v>
      </c>
      <c r="H423">
        <v>5.2</v>
      </c>
      <c r="I423">
        <v>9.6999999999999993</v>
      </c>
      <c r="J423"/>
    </row>
    <row r="424" spans="1:11">
      <c r="A424">
        <v>421</v>
      </c>
      <c r="G424">
        <v>995.2</v>
      </c>
      <c r="H424">
        <v>5</v>
      </c>
      <c r="I424">
        <v>12.1</v>
      </c>
      <c r="J424"/>
    </row>
    <row r="425" spans="1:11">
      <c r="A425">
        <v>422</v>
      </c>
      <c r="G425">
        <v>1011.4</v>
      </c>
      <c r="H425">
        <v>45.6</v>
      </c>
      <c r="I425">
        <v>51.2</v>
      </c>
      <c r="J425"/>
    </row>
    <row r="426" spans="1:11">
      <c r="A426">
        <v>423</v>
      </c>
      <c r="G426">
        <v>1342.3</v>
      </c>
      <c r="H426">
        <v>18.2</v>
      </c>
      <c r="I426">
        <v>22.3</v>
      </c>
      <c r="J426"/>
    </row>
    <row r="427" spans="1:11">
      <c r="A427">
        <v>424</v>
      </c>
      <c r="G427">
        <v>1566.7</v>
      </c>
      <c r="H427">
        <v>6.3</v>
      </c>
      <c r="I427">
        <v>13.1</v>
      </c>
      <c r="J427"/>
    </row>
    <row r="428" spans="1:11">
      <c r="A428">
        <v>425</v>
      </c>
      <c r="B428">
        <v>0.25</v>
      </c>
      <c r="C428">
        <v>8.67</v>
      </c>
      <c r="D428">
        <v>2.69</v>
      </c>
      <c r="E428">
        <v>0.54</v>
      </c>
      <c r="F428">
        <f>100-B428-C428-D428-E428</f>
        <v>87.85</v>
      </c>
      <c r="G428">
        <v>1094</v>
      </c>
      <c r="H428">
        <v>48.2</v>
      </c>
      <c r="I428">
        <v>54.1</v>
      </c>
      <c r="J428" t="s">
        <v>93</v>
      </c>
      <c r="K428" t="s">
        <v>94</v>
      </c>
    </row>
    <row r="429" spans="1:11">
      <c r="A429">
        <v>426</v>
      </c>
      <c r="G429">
        <v>1062</v>
      </c>
      <c r="H429">
        <v>43</v>
      </c>
      <c r="I429">
        <v>50.5</v>
      </c>
      <c r="J429"/>
    </row>
    <row r="430" spans="1:11">
      <c r="A430">
        <v>427</v>
      </c>
      <c r="G430">
        <v>1138</v>
      </c>
      <c r="H430">
        <v>62.4</v>
      </c>
      <c r="I430">
        <v>65.7</v>
      </c>
      <c r="J430"/>
    </row>
    <row r="431" spans="1:11">
      <c r="A431">
        <v>428</v>
      </c>
      <c r="G431">
        <v>1143</v>
      </c>
      <c r="H431">
        <v>59.4</v>
      </c>
      <c r="I431">
        <v>66.099999999999994</v>
      </c>
      <c r="J431"/>
    </row>
    <row r="432" spans="1:11">
      <c r="A432">
        <v>429</v>
      </c>
      <c r="B432">
        <v>0.2</v>
      </c>
      <c r="C432">
        <v>4.88</v>
      </c>
      <c r="D432">
        <v>3.11</v>
      </c>
      <c r="E432">
        <v>0.62</v>
      </c>
      <c r="F432">
        <f>100-B432-C432-D432-E432</f>
        <v>91.19</v>
      </c>
      <c r="G432">
        <v>852.7</v>
      </c>
      <c r="H432">
        <v>60.7</v>
      </c>
      <c r="I432">
        <v>64.5</v>
      </c>
      <c r="J432" t="s">
        <v>93</v>
      </c>
      <c r="K432" t="s">
        <v>96</v>
      </c>
    </row>
    <row r="433" spans="1:11">
      <c r="A433">
        <v>430</v>
      </c>
      <c r="G433">
        <v>1103.3</v>
      </c>
      <c r="H433">
        <v>42.3</v>
      </c>
      <c r="I433">
        <v>45.3</v>
      </c>
      <c r="J433"/>
    </row>
    <row r="434" spans="1:11">
      <c r="A434">
        <v>431</v>
      </c>
      <c r="B434">
        <v>0.22</v>
      </c>
      <c r="C434">
        <v>11.2</v>
      </c>
      <c r="D434">
        <v>1.95</v>
      </c>
      <c r="E434">
        <v>0</v>
      </c>
      <c r="F434">
        <f>100-B434-C434-D434-E434</f>
        <v>86.63</v>
      </c>
      <c r="G434">
        <v>1403.4</v>
      </c>
      <c r="H434">
        <v>30.2</v>
      </c>
      <c r="I434">
        <v>31.4</v>
      </c>
      <c r="J434" t="s">
        <v>103</v>
      </c>
      <c r="K434" t="s">
        <v>104</v>
      </c>
    </row>
    <row r="435" spans="1:11">
      <c r="A435">
        <v>432</v>
      </c>
      <c r="B435">
        <v>0.18</v>
      </c>
      <c r="C435">
        <v>11.02</v>
      </c>
      <c r="D435">
        <v>3.81</v>
      </c>
      <c r="E435">
        <v>0</v>
      </c>
      <c r="F435">
        <f>100-B435-C435-D435-E435</f>
        <v>84.99</v>
      </c>
      <c r="G435">
        <v>736.4</v>
      </c>
      <c r="H435">
        <v>30</v>
      </c>
      <c r="I435">
        <v>37.200000000000003</v>
      </c>
    </row>
    <row r="436" spans="1:11">
      <c r="A436">
        <v>433</v>
      </c>
      <c r="B436">
        <v>0.4</v>
      </c>
      <c r="C436">
        <v>6.25</v>
      </c>
      <c r="D436">
        <v>2.2400000000000002</v>
      </c>
      <c r="E436">
        <v>0</v>
      </c>
      <c r="F436">
        <f>100-B436-C436-D436-E436</f>
        <v>91.11</v>
      </c>
      <c r="G436">
        <v>1085.5999999999999</v>
      </c>
      <c r="H436">
        <v>12.8</v>
      </c>
      <c r="I436">
        <v>25</v>
      </c>
      <c r="J436" t="s">
        <v>107</v>
      </c>
      <c r="K436" t="s">
        <v>108</v>
      </c>
    </row>
    <row r="437" spans="1:11">
      <c r="A437">
        <v>434</v>
      </c>
      <c r="G437">
        <v>1003.9</v>
      </c>
      <c r="H437">
        <v>26.3</v>
      </c>
      <c r="I437">
        <v>35.1</v>
      </c>
      <c r="J437"/>
    </row>
    <row r="438" spans="1:11">
      <c r="A438">
        <v>435</v>
      </c>
      <c r="G438">
        <v>1067.5999999999999</v>
      </c>
      <c r="H438">
        <v>60.3</v>
      </c>
      <c r="I438">
        <v>66.8</v>
      </c>
      <c r="J438"/>
    </row>
    <row r="439" spans="1:11">
      <c r="A439">
        <v>436</v>
      </c>
      <c r="G439">
        <v>1392.2</v>
      </c>
      <c r="H439">
        <v>41.6</v>
      </c>
      <c r="I439">
        <v>44.7</v>
      </c>
      <c r="J439"/>
    </row>
    <row r="440" spans="1:11">
      <c r="A440">
        <v>437</v>
      </c>
      <c r="B440">
        <v>0.17</v>
      </c>
      <c r="C440">
        <v>5.6</v>
      </c>
      <c r="D440">
        <v>1.2</v>
      </c>
      <c r="E440">
        <v>0</v>
      </c>
      <c r="F440">
        <f>100-B440-C440-D440-E440</f>
        <v>93.03</v>
      </c>
      <c r="G440">
        <v>1058.5999999999999</v>
      </c>
      <c r="H440">
        <v>9</v>
      </c>
      <c r="I440">
        <v>16.7</v>
      </c>
      <c r="J440" t="s">
        <v>110</v>
      </c>
      <c r="K440" t="s">
        <v>109</v>
      </c>
    </row>
    <row r="441" spans="1:11">
      <c r="A441">
        <v>438</v>
      </c>
      <c r="G441">
        <v>1191.2</v>
      </c>
      <c r="H441">
        <v>45.3</v>
      </c>
      <c r="I441">
        <v>47.7</v>
      </c>
      <c r="J441"/>
    </row>
    <row r="442" spans="1:11">
      <c r="A442">
        <v>439</v>
      </c>
      <c r="G442">
        <v>1166.7</v>
      </c>
      <c r="H442">
        <v>41.7</v>
      </c>
      <c r="I442">
        <v>45.2</v>
      </c>
      <c r="J442"/>
    </row>
    <row r="443" spans="1:11">
      <c r="A443">
        <v>440</v>
      </c>
      <c r="G443">
        <v>1161.8</v>
      </c>
      <c r="H443">
        <v>30.2</v>
      </c>
      <c r="I443">
        <v>31.9</v>
      </c>
      <c r="J443"/>
    </row>
    <row r="444" spans="1:11">
      <c r="A444">
        <v>441</v>
      </c>
      <c r="G444">
        <v>1120</v>
      </c>
      <c r="H444">
        <v>23.8</v>
      </c>
      <c r="I444">
        <v>26.7</v>
      </c>
      <c r="J444"/>
    </row>
    <row r="445" spans="1:11">
      <c r="A445">
        <v>442</v>
      </c>
      <c r="B445">
        <v>0.23</v>
      </c>
      <c r="C445">
        <v>3</v>
      </c>
      <c r="D445">
        <v>1.7</v>
      </c>
      <c r="E445">
        <v>0.6</v>
      </c>
      <c r="F445">
        <f>100-B445-C445-D445-E445</f>
        <v>94.47</v>
      </c>
      <c r="G445">
        <v>1197</v>
      </c>
      <c r="H445">
        <v>25</v>
      </c>
      <c r="I445">
        <v>30</v>
      </c>
      <c r="J445" t="s">
        <v>121</v>
      </c>
      <c r="K445" t="s">
        <v>122</v>
      </c>
    </row>
    <row r="446" spans="1:11">
      <c r="A446">
        <v>443</v>
      </c>
      <c r="G446">
        <v>1234</v>
      </c>
      <c r="H446">
        <v>30</v>
      </c>
      <c r="I446">
        <v>32</v>
      </c>
      <c r="J446"/>
    </row>
    <row r="447" spans="1:11">
      <c r="A447">
        <v>444</v>
      </c>
      <c r="G447">
        <v>1285</v>
      </c>
      <c r="H447">
        <v>25</v>
      </c>
      <c r="I447">
        <v>28</v>
      </c>
      <c r="J447"/>
    </row>
    <row r="448" spans="1:11">
      <c r="A448">
        <v>445</v>
      </c>
      <c r="G448">
        <v>1449</v>
      </c>
      <c r="H448">
        <v>20</v>
      </c>
      <c r="I448">
        <v>21</v>
      </c>
      <c r="J448"/>
    </row>
    <row r="449" spans="1:11">
      <c r="A449">
        <v>446</v>
      </c>
      <c r="B449">
        <v>0.11</v>
      </c>
      <c r="C449">
        <v>8.1</v>
      </c>
      <c r="D449">
        <v>1.8</v>
      </c>
      <c r="E449">
        <v>0.6</v>
      </c>
      <c r="F449">
        <f>100-B449-C449-D449-E449</f>
        <v>89.390000000000015</v>
      </c>
      <c r="G449">
        <v>1455</v>
      </c>
      <c r="H449">
        <v>12</v>
      </c>
      <c r="I449">
        <v>27</v>
      </c>
      <c r="J449"/>
    </row>
    <row r="450" spans="1:11">
      <c r="A450">
        <v>447</v>
      </c>
      <c r="G450">
        <v>1106</v>
      </c>
      <c r="H450">
        <v>57</v>
      </c>
      <c r="I450">
        <v>66</v>
      </c>
      <c r="J450"/>
    </row>
    <row r="451" spans="1:11">
      <c r="A451">
        <v>448</v>
      </c>
      <c r="G451">
        <v>1290</v>
      </c>
      <c r="H451">
        <v>35</v>
      </c>
      <c r="I451">
        <v>41</v>
      </c>
      <c r="J451"/>
    </row>
    <row r="452" spans="1:11">
      <c r="A452">
        <v>449</v>
      </c>
      <c r="G452">
        <v>1405</v>
      </c>
      <c r="H452">
        <v>30</v>
      </c>
      <c r="I452">
        <v>36</v>
      </c>
      <c r="J452"/>
    </row>
    <row r="453" spans="1:11">
      <c r="A453">
        <v>450</v>
      </c>
      <c r="B453">
        <v>0.25</v>
      </c>
      <c r="C453">
        <v>7.17</v>
      </c>
      <c r="D453">
        <v>2.6</v>
      </c>
      <c r="E453">
        <v>0</v>
      </c>
      <c r="F453">
        <f>100-B453-C453-D453-E453</f>
        <v>89.98</v>
      </c>
      <c r="G453">
        <v>937</v>
      </c>
      <c r="H453">
        <v>52.2</v>
      </c>
      <c r="I453">
        <v>58.4</v>
      </c>
      <c r="J453" t="s">
        <v>360</v>
      </c>
      <c r="K453" t="s">
        <v>111</v>
      </c>
    </row>
    <row r="454" spans="1:11">
      <c r="A454">
        <v>451</v>
      </c>
      <c r="G454">
        <v>943</v>
      </c>
      <c r="H454">
        <v>59.8</v>
      </c>
      <c r="I454">
        <v>61.9</v>
      </c>
      <c r="J454"/>
    </row>
    <row r="455" spans="1:11">
      <c r="A455">
        <v>452</v>
      </c>
      <c r="B455">
        <v>0.05</v>
      </c>
      <c r="C455">
        <v>8.51</v>
      </c>
      <c r="D455">
        <v>0.08</v>
      </c>
      <c r="E455">
        <v>0.28999999999999998</v>
      </c>
      <c r="F455">
        <f>100-B455-C455-D455-E455</f>
        <v>91.07</v>
      </c>
      <c r="G455">
        <v>1034</v>
      </c>
      <c r="H455">
        <v>17.100000000000001</v>
      </c>
      <c r="I455">
        <v>27.5</v>
      </c>
      <c r="J455" t="s">
        <v>368</v>
      </c>
      <c r="K455" t="s">
        <v>127</v>
      </c>
    </row>
    <row r="456" spans="1:11">
      <c r="A456">
        <v>453</v>
      </c>
      <c r="B456">
        <v>9.2999999999999999E-2</v>
      </c>
      <c r="C456">
        <v>7.22</v>
      </c>
      <c r="D456">
        <v>1.2999999999999999E-2</v>
      </c>
      <c r="E456">
        <v>0.49</v>
      </c>
      <c r="F456">
        <f>100-B456-C456-D456-E456</f>
        <v>92.183999999999997</v>
      </c>
      <c r="G456">
        <v>1231</v>
      </c>
      <c r="H456">
        <v>22.2</v>
      </c>
      <c r="I456">
        <v>24.3</v>
      </c>
      <c r="J456" t="s">
        <v>368</v>
      </c>
      <c r="K456" t="s">
        <v>134</v>
      </c>
    </row>
    <row r="457" spans="1:11">
      <c r="A457">
        <v>454</v>
      </c>
      <c r="B457">
        <v>0.21</v>
      </c>
      <c r="C457">
        <v>4.9400000000000004</v>
      </c>
      <c r="D457">
        <v>3.2000000000000001E-2</v>
      </c>
      <c r="E457">
        <v>1.5</v>
      </c>
      <c r="F457">
        <f>100-B457-C457-D457-E457</f>
        <v>93.318000000000012</v>
      </c>
      <c r="G457">
        <v>1168</v>
      </c>
      <c r="H457">
        <v>29.4</v>
      </c>
      <c r="I457">
        <v>30.5</v>
      </c>
      <c r="J457" t="s">
        <v>132</v>
      </c>
      <c r="K457" t="s">
        <v>133</v>
      </c>
    </row>
    <row r="458" spans="1:11">
      <c r="A458">
        <v>455</v>
      </c>
      <c r="B458">
        <v>0.2</v>
      </c>
      <c r="C458">
        <v>1.5</v>
      </c>
      <c r="D458">
        <v>3.5000000000000003E-2</v>
      </c>
      <c r="E458">
        <v>1.49</v>
      </c>
      <c r="F458">
        <f>100-B458-C458-D458-E458</f>
        <v>96.775000000000006</v>
      </c>
      <c r="G458">
        <v>873</v>
      </c>
      <c r="H458">
        <v>20</v>
      </c>
      <c r="I458">
        <v>24.1</v>
      </c>
      <c r="J458"/>
    </row>
    <row r="459" spans="1:11">
      <c r="A459">
        <v>456</v>
      </c>
      <c r="B459">
        <v>0.3</v>
      </c>
      <c r="C459">
        <v>4</v>
      </c>
      <c r="D459">
        <v>0</v>
      </c>
      <c r="E459">
        <v>1.6</v>
      </c>
      <c r="F459">
        <f>100-B459-C459-D459-E459</f>
        <v>94.100000000000009</v>
      </c>
      <c r="G459">
        <v>1661</v>
      </c>
      <c r="H459">
        <v>11.9</v>
      </c>
      <c r="I459">
        <v>16.100000000000001</v>
      </c>
      <c r="J459" t="s">
        <v>378</v>
      </c>
      <c r="K459" t="s">
        <v>18</v>
      </c>
    </row>
    <row r="460" spans="1:11">
      <c r="A460">
        <v>457</v>
      </c>
      <c r="G460">
        <v>1666</v>
      </c>
      <c r="H460">
        <v>13.7</v>
      </c>
      <c r="I460">
        <v>19.399999999999999</v>
      </c>
      <c r="J460"/>
    </row>
    <row r="461" spans="1:11">
      <c r="A461">
        <v>458</v>
      </c>
      <c r="G461">
        <v>1621</v>
      </c>
      <c r="H461">
        <v>12.4</v>
      </c>
      <c r="I461">
        <v>19.3</v>
      </c>
      <c r="J461"/>
    </row>
    <row r="462" spans="1:11">
      <c r="A462">
        <v>459</v>
      </c>
      <c r="G462">
        <v>1556</v>
      </c>
      <c r="H462">
        <v>14.7</v>
      </c>
      <c r="I462">
        <v>19.7</v>
      </c>
      <c r="J462"/>
    </row>
    <row r="463" spans="1:11">
      <c r="A463">
        <v>460</v>
      </c>
      <c r="B463">
        <v>0.1</v>
      </c>
      <c r="C463">
        <v>5</v>
      </c>
      <c r="D463">
        <v>0.02</v>
      </c>
      <c r="E463">
        <v>1.2</v>
      </c>
      <c r="F463">
        <f>100-B463-C463-D463-E463</f>
        <v>93.68</v>
      </c>
      <c r="G463">
        <v>1061.2</v>
      </c>
      <c r="H463">
        <v>21.6</v>
      </c>
      <c r="I463">
        <v>32.5</v>
      </c>
      <c r="J463" t="s">
        <v>52</v>
      </c>
      <c r="K463" t="s">
        <v>53</v>
      </c>
    </row>
    <row r="464" spans="1:11">
      <c r="A464">
        <v>461</v>
      </c>
      <c r="G464">
        <v>779.3</v>
      </c>
      <c r="H464">
        <v>35.6</v>
      </c>
      <c r="I464">
        <v>47.8</v>
      </c>
      <c r="J464" t="s">
        <v>56</v>
      </c>
      <c r="K464" t="s">
        <v>57</v>
      </c>
    </row>
    <row r="465" spans="1:11">
      <c r="A465">
        <v>462</v>
      </c>
      <c r="B465">
        <v>0.28000000000000003</v>
      </c>
      <c r="C465">
        <v>4.08</v>
      </c>
      <c r="D465">
        <v>0</v>
      </c>
      <c r="E465">
        <v>1.42</v>
      </c>
      <c r="F465">
        <f>100-B465-C465-D465-E465</f>
        <v>94.22</v>
      </c>
      <c r="G465">
        <v>1509.3</v>
      </c>
      <c r="H465">
        <v>15.2</v>
      </c>
      <c r="I465">
        <v>15.2</v>
      </c>
      <c r="J465"/>
    </row>
    <row r="466" spans="1:11">
      <c r="A466">
        <v>463</v>
      </c>
      <c r="G466">
        <v>1539</v>
      </c>
      <c r="H466">
        <v>13.6</v>
      </c>
      <c r="I466">
        <v>15.4</v>
      </c>
      <c r="J466"/>
    </row>
    <row r="467" spans="1:11">
      <c r="A467">
        <v>464</v>
      </c>
      <c r="G467">
        <v>1394.8</v>
      </c>
      <c r="H467">
        <v>9.6999999999999993</v>
      </c>
      <c r="I467">
        <v>13.4</v>
      </c>
      <c r="J467"/>
    </row>
    <row r="468" spans="1:11">
      <c r="A468">
        <v>465</v>
      </c>
      <c r="B468">
        <v>0.12</v>
      </c>
      <c r="C468">
        <v>4.8899999999999997</v>
      </c>
      <c r="D468">
        <v>1.52</v>
      </c>
      <c r="E468">
        <v>0</v>
      </c>
      <c r="F468">
        <f>100-B468-C468-D468-E468</f>
        <v>93.47</v>
      </c>
      <c r="G468">
        <v>1342</v>
      </c>
      <c r="H468">
        <v>4.2</v>
      </c>
      <c r="I468">
        <v>13</v>
      </c>
      <c r="J468" t="s">
        <v>58</v>
      </c>
      <c r="K468" t="s">
        <v>59</v>
      </c>
    </row>
    <row r="469" spans="1:11">
      <c r="A469">
        <v>466</v>
      </c>
      <c r="G469">
        <v>667</v>
      </c>
      <c r="H469">
        <v>17</v>
      </c>
      <c r="I469">
        <v>33.200000000000003</v>
      </c>
      <c r="J469"/>
    </row>
    <row r="470" spans="1:11">
      <c r="A470">
        <v>467</v>
      </c>
      <c r="G470">
        <v>986</v>
      </c>
      <c r="H470">
        <v>16.2</v>
      </c>
      <c r="I470">
        <v>23.5</v>
      </c>
      <c r="J470"/>
    </row>
    <row r="471" spans="1:11">
      <c r="A471">
        <v>468</v>
      </c>
      <c r="G471">
        <v>877</v>
      </c>
      <c r="H471">
        <v>19.399999999999999</v>
      </c>
      <c r="I471">
        <v>28.4</v>
      </c>
      <c r="J471"/>
    </row>
    <row r="472" spans="1:11">
      <c r="A472">
        <v>469</v>
      </c>
      <c r="B472">
        <v>0.21</v>
      </c>
      <c r="C472">
        <v>10.199999999999999</v>
      </c>
      <c r="D472">
        <v>1.94</v>
      </c>
      <c r="E472">
        <v>0</v>
      </c>
      <c r="F472">
        <f>100-B472-C472-D472-E472</f>
        <v>87.65</v>
      </c>
      <c r="G472">
        <v>1335</v>
      </c>
      <c r="H472">
        <v>16.2</v>
      </c>
      <c r="I472">
        <v>16.3</v>
      </c>
      <c r="J472" t="s">
        <v>125</v>
      </c>
      <c r="K472" t="s">
        <v>92</v>
      </c>
    </row>
    <row r="473" spans="1:11">
      <c r="A473">
        <v>470</v>
      </c>
      <c r="B473">
        <v>0.21</v>
      </c>
      <c r="C473">
        <v>10.199999999999999</v>
      </c>
      <c r="D473">
        <v>1.94</v>
      </c>
      <c r="E473">
        <v>0</v>
      </c>
      <c r="F473">
        <f>100-B473-C473-D473-E473</f>
        <v>87.65</v>
      </c>
      <c r="G473">
        <v>1685</v>
      </c>
      <c r="H473">
        <v>7.9</v>
      </c>
      <c r="I473">
        <v>8</v>
      </c>
      <c r="J473"/>
    </row>
    <row r="474" spans="1:11">
      <c r="A474">
        <v>471</v>
      </c>
      <c r="G474">
        <v>1662</v>
      </c>
      <c r="H474">
        <v>9.1999999999999993</v>
      </c>
      <c r="I474">
        <v>9.3000000000000007</v>
      </c>
      <c r="J474"/>
    </row>
    <row r="475" spans="1:11">
      <c r="A475">
        <v>472</v>
      </c>
      <c r="G475">
        <v>1515</v>
      </c>
      <c r="H475">
        <v>14.8</v>
      </c>
      <c r="I475">
        <v>19.5</v>
      </c>
      <c r="J475"/>
    </row>
    <row r="476" spans="1:11">
      <c r="A476">
        <v>473</v>
      </c>
      <c r="G476">
        <v>1362</v>
      </c>
      <c r="H476">
        <v>13.8</v>
      </c>
      <c r="I476">
        <v>19.3</v>
      </c>
      <c r="J476"/>
    </row>
    <row r="477" spans="1:11">
      <c r="A477">
        <v>474</v>
      </c>
      <c r="B477">
        <v>0.22</v>
      </c>
      <c r="C477">
        <v>6.83</v>
      </c>
      <c r="D477">
        <v>0</v>
      </c>
      <c r="E477">
        <v>1.53</v>
      </c>
      <c r="F477">
        <f>100-B477-C477-D477-E477</f>
        <v>91.42</v>
      </c>
      <c r="G477">
        <v>1076.5</v>
      </c>
      <c r="H477">
        <v>27.2</v>
      </c>
      <c r="I477">
        <v>27.2</v>
      </c>
      <c r="J477" t="s">
        <v>99</v>
      </c>
      <c r="K477" t="s">
        <v>100</v>
      </c>
    </row>
    <row r="478" spans="1:11">
      <c r="A478">
        <v>475</v>
      </c>
      <c r="G478">
        <v>1096.3</v>
      </c>
      <c r="H478">
        <v>27</v>
      </c>
      <c r="I478">
        <v>27</v>
      </c>
      <c r="J478"/>
    </row>
    <row r="479" spans="1:11">
      <c r="A479">
        <v>476</v>
      </c>
      <c r="G479">
        <v>1125.9000000000001</v>
      </c>
      <c r="H479">
        <v>13.8</v>
      </c>
      <c r="I479">
        <v>13.8</v>
      </c>
      <c r="J479"/>
    </row>
    <row r="480" spans="1:11">
      <c r="A480">
        <v>477</v>
      </c>
      <c r="B480">
        <v>0.14000000000000001</v>
      </c>
      <c r="C480">
        <v>7</v>
      </c>
      <c r="D480">
        <v>0</v>
      </c>
      <c r="E480">
        <v>0.22</v>
      </c>
      <c r="F480">
        <f>100-B480-C480-D480-E480</f>
        <v>92.64</v>
      </c>
      <c r="G480">
        <v>1496</v>
      </c>
      <c r="H480">
        <v>2.6</v>
      </c>
      <c r="I480">
        <v>2.6</v>
      </c>
      <c r="J480" t="s">
        <v>105</v>
      </c>
      <c r="K480" t="s">
        <v>106</v>
      </c>
    </row>
    <row r="481" spans="1:11">
      <c r="A481">
        <v>478</v>
      </c>
      <c r="G481">
        <v>1565</v>
      </c>
      <c r="H481">
        <v>9.6</v>
      </c>
      <c r="I481">
        <v>11.7</v>
      </c>
      <c r="J481"/>
    </row>
    <row r="482" spans="1:11">
      <c r="A482">
        <v>479</v>
      </c>
      <c r="B482">
        <v>0.2</v>
      </c>
      <c r="C482">
        <v>8.5</v>
      </c>
      <c r="D482">
        <v>3</v>
      </c>
      <c r="E482">
        <v>0</v>
      </c>
      <c r="F482">
        <f>100-B482-C482-D482-E482</f>
        <v>88.3</v>
      </c>
      <c r="G482">
        <v>863.5</v>
      </c>
      <c r="H482">
        <v>18.2</v>
      </c>
      <c r="I482">
        <v>25.3</v>
      </c>
      <c r="J482" t="s">
        <v>113</v>
      </c>
      <c r="K482" t="s">
        <v>114</v>
      </c>
    </row>
    <row r="483" spans="1:11">
      <c r="A483">
        <v>480</v>
      </c>
      <c r="G483">
        <v>995.5</v>
      </c>
      <c r="H483">
        <v>54.6</v>
      </c>
      <c r="I483">
        <v>55.9</v>
      </c>
      <c r="J483"/>
    </row>
    <row r="484" spans="1:11">
      <c r="A484">
        <v>481</v>
      </c>
      <c r="G484">
        <v>997.6</v>
      </c>
      <c r="H484">
        <v>45.5</v>
      </c>
      <c r="I484">
        <v>46.6</v>
      </c>
      <c r="J484"/>
    </row>
    <row r="485" spans="1:11">
      <c r="A485">
        <v>482</v>
      </c>
      <c r="G485">
        <v>1119.2</v>
      </c>
      <c r="H485">
        <v>34.5</v>
      </c>
      <c r="I485">
        <v>35.5</v>
      </c>
      <c r="J485"/>
    </row>
    <row r="486" spans="1:11">
      <c r="A486">
        <v>483</v>
      </c>
      <c r="G486">
        <v>1228.0999999999999</v>
      </c>
      <c r="H486">
        <v>23.3</v>
      </c>
      <c r="I486">
        <v>23.3</v>
      </c>
      <c r="J486"/>
    </row>
    <row r="487" spans="1:11">
      <c r="A487">
        <v>484</v>
      </c>
      <c r="B487">
        <v>0.17</v>
      </c>
      <c r="C487">
        <v>5.56</v>
      </c>
      <c r="D487">
        <v>1.21</v>
      </c>
      <c r="E487">
        <v>0</v>
      </c>
      <c r="F487">
        <f>100-B487-C487-D487-E487</f>
        <v>93.06</v>
      </c>
      <c r="G487">
        <v>1233.2</v>
      </c>
      <c r="H487">
        <v>26.8</v>
      </c>
      <c r="I487">
        <v>28.8</v>
      </c>
      <c r="J487"/>
    </row>
    <row r="488" spans="1:11">
      <c r="A488">
        <v>485</v>
      </c>
      <c r="G488">
        <v>1633</v>
      </c>
      <c r="H488">
        <v>13.3</v>
      </c>
      <c r="I488">
        <v>45.9</v>
      </c>
      <c r="J488"/>
    </row>
  </sheetData>
  <phoneticPr fontId="7" type="noConversion"/>
  <pageMargins left="0.7" right="0.7" top="0.75" bottom="0.75" header="0.3" footer="0.3"/>
  <pageSetup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"/>
  <sheetViews>
    <sheetView zoomScale="85" zoomScaleNormal="85" workbookViewId="0">
      <selection activeCell="G28" sqref="G28"/>
    </sheetView>
  </sheetViews>
  <sheetFormatPr baseColWidth="10" defaultColWidth="8.83203125" defaultRowHeight="15"/>
  <cols>
    <col min="7" max="7" width="10.5" customWidth="1"/>
    <col min="8" max="8" width="23" bestFit="1" customWidth="1"/>
    <col min="9" max="9" width="19" customWidth="1"/>
    <col min="10" max="10" width="26.83203125" style="14" customWidth="1"/>
    <col min="11" max="11" width="133.6640625" bestFit="1" customWidth="1"/>
  </cols>
  <sheetData>
    <row r="1" spans="1:11" s="2" customFormat="1">
      <c r="A1" s="2" t="s">
        <v>147</v>
      </c>
      <c r="G1" s="3"/>
      <c r="H1" s="4"/>
      <c r="I1" s="4"/>
      <c r="J1" s="12"/>
      <c r="K1" s="5"/>
    </row>
    <row r="2" spans="1:11" s="2" customFormat="1">
      <c r="A2" s="2" t="s">
        <v>6</v>
      </c>
      <c r="C2" s="2" t="s">
        <v>2</v>
      </c>
      <c r="G2" s="3"/>
      <c r="H2" s="4" t="s">
        <v>9</v>
      </c>
      <c r="I2" s="4"/>
      <c r="J2" s="12" t="s">
        <v>13</v>
      </c>
      <c r="K2" s="5" t="s">
        <v>10</v>
      </c>
    </row>
    <row r="3" spans="1:11" s="6" customFormat="1">
      <c r="B3" s="6" t="s">
        <v>0</v>
      </c>
      <c r="C3" s="6" t="s">
        <v>1</v>
      </c>
      <c r="D3" s="6" t="s">
        <v>3</v>
      </c>
      <c r="E3" s="6" t="s">
        <v>4</v>
      </c>
      <c r="F3" s="6" t="s">
        <v>5</v>
      </c>
      <c r="G3" s="7" t="s">
        <v>16</v>
      </c>
      <c r="H3" s="8" t="s">
        <v>7</v>
      </c>
      <c r="I3" s="8" t="s">
        <v>8</v>
      </c>
      <c r="J3" s="13"/>
      <c r="K3" s="9"/>
    </row>
    <row r="4" spans="1:11">
      <c r="A4">
        <v>1</v>
      </c>
      <c r="B4">
        <v>0.2</v>
      </c>
      <c r="C4">
        <v>12.4</v>
      </c>
      <c r="D4">
        <v>5.2</v>
      </c>
      <c r="E4">
        <v>0.9</v>
      </c>
      <c r="F4">
        <f>100-B4-C4-D4-E4</f>
        <v>81.299999999999983</v>
      </c>
      <c r="G4">
        <v>815</v>
      </c>
      <c r="H4">
        <v>28.1</v>
      </c>
      <c r="I4">
        <v>38</v>
      </c>
      <c r="J4" s="14" t="s">
        <v>349</v>
      </c>
      <c r="K4" t="s">
        <v>135</v>
      </c>
    </row>
    <row r="5" spans="1:11">
      <c r="A5">
        <v>2</v>
      </c>
      <c r="G5">
        <v>760</v>
      </c>
      <c r="H5">
        <v>33.200000000000003</v>
      </c>
      <c r="I5">
        <v>45</v>
      </c>
      <c r="J5"/>
    </row>
    <row r="6" spans="1:11">
      <c r="A6">
        <v>3</v>
      </c>
      <c r="B6">
        <v>0.23</v>
      </c>
      <c r="C6">
        <v>8.1</v>
      </c>
      <c r="D6">
        <v>5.3</v>
      </c>
      <c r="E6">
        <v>0.01</v>
      </c>
      <c r="F6">
        <f>100-B6-C6-D6-E6</f>
        <v>86.36</v>
      </c>
      <c r="G6">
        <v>793</v>
      </c>
      <c r="H6">
        <v>26.4</v>
      </c>
      <c r="I6">
        <v>37</v>
      </c>
      <c r="J6"/>
    </row>
    <row r="7" spans="1:11">
      <c r="A7">
        <v>4</v>
      </c>
      <c r="G7">
        <v>949</v>
      </c>
      <c r="H7">
        <v>51</v>
      </c>
      <c r="I7">
        <v>54</v>
      </c>
    </row>
    <row r="8" spans="1:11">
      <c r="A8">
        <v>5</v>
      </c>
      <c r="B8">
        <v>0.6</v>
      </c>
      <c r="C8">
        <v>20.149999999999999</v>
      </c>
      <c r="D8">
        <v>9.2200000000000006</v>
      </c>
      <c r="E8">
        <v>0</v>
      </c>
      <c r="F8">
        <f>100-B8-C8-D8-E8</f>
        <v>70.03</v>
      </c>
      <c r="G8">
        <v>875</v>
      </c>
      <c r="H8">
        <v>31</v>
      </c>
      <c r="I8">
        <v>42</v>
      </c>
      <c r="J8" s="14" t="s">
        <v>137</v>
      </c>
      <c r="K8" t="s">
        <v>136</v>
      </c>
    </row>
    <row r="9" spans="1:11">
      <c r="A9">
        <v>6</v>
      </c>
      <c r="G9">
        <v>830</v>
      </c>
      <c r="H9">
        <v>36</v>
      </c>
      <c r="I9">
        <v>44</v>
      </c>
    </row>
    <row r="10" spans="1:11">
      <c r="A10">
        <v>7</v>
      </c>
      <c r="G10">
        <v>806</v>
      </c>
      <c r="H10">
        <v>39</v>
      </c>
      <c r="I10">
        <v>46</v>
      </c>
    </row>
    <row r="11" spans="1:11">
      <c r="A11">
        <v>8</v>
      </c>
      <c r="G11">
        <v>787</v>
      </c>
      <c r="H11">
        <v>40</v>
      </c>
      <c r="I11">
        <v>47</v>
      </c>
    </row>
    <row r="12" spans="1:11">
      <c r="A12">
        <v>9</v>
      </c>
      <c r="B12">
        <v>0.8</v>
      </c>
      <c r="C12">
        <v>15</v>
      </c>
      <c r="D12">
        <v>7</v>
      </c>
      <c r="E12">
        <v>0</v>
      </c>
      <c r="F12">
        <f>100-B12-C12-D12-E12</f>
        <v>77.2</v>
      </c>
      <c r="G12">
        <v>1051</v>
      </c>
      <c r="H12">
        <v>35.1</v>
      </c>
      <c r="I12">
        <v>41</v>
      </c>
      <c r="J12" s="14" t="s">
        <v>155</v>
      </c>
      <c r="K12" t="s">
        <v>138</v>
      </c>
    </row>
    <row r="13" spans="1:11">
      <c r="A13">
        <v>10</v>
      </c>
      <c r="B13">
        <v>0.4</v>
      </c>
      <c r="C13">
        <v>3.5</v>
      </c>
      <c r="D13">
        <v>5.9</v>
      </c>
      <c r="E13">
        <v>0</v>
      </c>
      <c r="F13">
        <f>100-B13-C13-D13-E13</f>
        <v>90.199999999999989</v>
      </c>
      <c r="G13">
        <v>906</v>
      </c>
      <c r="H13">
        <v>25.1</v>
      </c>
      <c r="I13">
        <v>32</v>
      </c>
      <c r="J13" s="14" t="s">
        <v>350</v>
      </c>
      <c r="K13" t="s">
        <v>142</v>
      </c>
    </row>
    <row r="14" spans="1:11">
      <c r="A14">
        <v>11</v>
      </c>
      <c r="B14">
        <v>0.3</v>
      </c>
      <c r="C14">
        <v>9</v>
      </c>
      <c r="D14">
        <v>5</v>
      </c>
      <c r="E14">
        <v>0</v>
      </c>
      <c r="F14">
        <f>100-B14-C14-D14-E14</f>
        <v>85.7</v>
      </c>
      <c r="G14">
        <v>785</v>
      </c>
      <c r="H14">
        <v>87.7</v>
      </c>
      <c r="I14">
        <v>95</v>
      </c>
      <c r="J14" s="14" t="s">
        <v>145</v>
      </c>
      <c r="K14" t="s">
        <v>146</v>
      </c>
    </row>
    <row r="15" spans="1:11">
      <c r="A15">
        <v>12</v>
      </c>
      <c r="G15">
        <v>874</v>
      </c>
      <c r="H15">
        <v>70.8</v>
      </c>
      <c r="I15">
        <v>72</v>
      </c>
    </row>
    <row r="16" spans="1:11">
      <c r="A16">
        <v>13</v>
      </c>
      <c r="G16">
        <v>840</v>
      </c>
      <c r="H16">
        <v>25.2</v>
      </c>
      <c r="I16">
        <v>25</v>
      </c>
    </row>
    <row r="17" spans="1:11">
      <c r="A17">
        <v>14</v>
      </c>
      <c r="B17">
        <v>0.32</v>
      </c>
      <c r="C17">
        <v>5.8</v>
      </c>
      <c r="D17">
        <v>5</v>
      </c>
      <c r="E17">
        <v>0</v>
      </c>
      <c r="F17">
        <f>100-B17-C17-D17-E17</f>
        <v>88.88000000000001</v>
      </c>
      <c r="G17">
        <v>807.8</v>
      </c>
      <c r="H17">
        <v>52.5</v>
      </c>
      <c r="I17">
        <v>55.5</v>
      </c>
      <c r="J17" s="14" t="s">
        <v>155</v>
      </c>
      <c r="K17" t="s">
        <v>152</v>
      </c>
    </row>
    <row r="18" spans="1:11">
      <c r="A18">
        <v>15</v>
      </c>
      <c r="G18">
        <v>952.6</v>
      </c>
      <c r="H18">
        <v>28.8</v>
      </c>
      <c r="I18">
        <v>30.7</v>
      </c>
    </row>
    <row r="19" spans="1:11">
      <c r="A19">
        <v>16</v>
      </c>
      <c r="G19">
        <v>1058.3</v>
      </c>
      <c r="H19">
        <v>13.3</v>
      </c>
      <c r="I19">
        <v>13.5</v>
      </c>
    </row>
    <row r="20" spans="1:11">
      <c r="A20">
        <v>17</v>
      </c>
      <c r="B20">
        <v>0.22</v>
      </c>
      <c r="C20">
        <v>11.2</v>
      </c>
      <c r="D20">
        <v>1.95</v>
      </c>
      <c r="E20">
        <v>0</v>
      </c>
      <c r="F20">
        <f>100-B20-C20-D20-E20</f>
        <v>86.63</v>
      </c>
      <c r="G20">
        <v>1403.4</v>
      </c>
      <c r="H20">
        <v>30.2</v>
      </c>
      <c r="I20">
        <v>31.4</v>
      </c>
      <c r="J20" s="14" t="s">
        <v>103</v>
      </c>
      <c r="K20" t="s">
        <v>104</v>
      </c>
    </row>
    <row r="21" spans="1:11">
      <c r="A21">
        <v>18</v>
      </c>
      <c r="B21">
        <v>0.18</v>
      </c>
      <c r="C21">
        <v>11.02</v>
      </c>
      <c r="D21">
        <v>3.81</v>
      </c>
      <c r="E21">
        <v>0</v>
      </c>
      <c r="F21">
        <f>100-B21-C21-D21-E21</f>
        <v>84.99</v>
      </c>
      <c r="G21">
        <v>736.4</v>
      </c>
      <c r="H21">
        <v>30</v>
      </c>
      <c r="I21">
        <v>37.200000000000003</v>
      </c>
    </row>
    <row r="22" spans="1:11">
      <c r="A22">
        <v>19</v>
      </c>
      <c r="B22">
        <v>0.21</v>
      </c>
      <c r="C22">
        <v>10.75</v>
      </c>
      <c r="D22">
        <v>6.08</v>
      </c>
      <c r="E22">
        <v>0</v>
      </c>
      <c r="F22">
        <f>100-B22-C22-D22-E22</f>
        <v>82.960000000000008</v>
      </c>
      <c r="G22">
        <v>662</v>
      </c>
      <c r="H22">
        <v>61.9</v>
      </c>
      <c r="I22">
        <v>64.8</v>
      </c>
    </row>
    <row r="23" spans="1:11">
      <c r="A23">
        <v>20</v>
      </c>
      <c r="B23">
        <v>0.8</v>
      </c>
      <c r="C23">
        <v>8</v>
      </c>
      <c r="D23">
        <v>8</v>
      </c>
      <c r="E23">
        <v>0</v>
      </c>
      <c r="F23">
        <f>100-B23-C23-D23-E23</f>
        <v>83.2</v>
      </c>
      <c r="G23">
        <v>1676.9</v>
      </c>
      <c r="H23">
        <v>13.3</v>
      </c>
      <c r="I23">
        <v>13.3</v>
      </c>
      <c r="J23" s="14" t="s">
        <v>77</v>
      </c>
      <c r="K23" t="s">
        <v>78</v>
      </c>
    </row>
    <row r="24" spans="1:11">
      <c r="A24">
        <v>21</v>
      </c>
      <c r="B24">
        <v>0.26</v>
      </c>
      <c r="C24">
        <v>10.1</v>
      </c>
      <c r="D24">
        <v>6.3</v>
      </c>
      <c r="E24">
        <v>0</v>
      </c>
      <c r="F24">
        <f>100-B24-C24-D24-E24</f>
        <v>83.34</v>
      </c>
      <c r="G24">
        <v>806.3</v>
      </c>
      <c r="H24">
        <v>43.3</v>
      </c>
      <c r="I24">
        <v>43.3</v>
      </c>
      <c r="J24" s="14" t="s">
        <v>351</v>
      </c>
      <c r="K24" t="s">
        <v>338</v>
      </c>
    </row>
    <row r="25" spans="1:11">
      <c r="A25">
        <v>22</v>
      </c>
      <c r="G25">
        <v>783.7</v>
      </c>
      <c r="H25">
        <v>47.9</v>
      </c>
      <c r="I25">
        <v>47.9</v>
      </c>
    </row>
    <row r="26" spans="1:11">
      <c r="A26">
        <v>23</v>
      </c>
      <c r="G26">
        <v>761.1</v>
      </c>
      <c r="H26">
        <v>48.5</v>
      </c>
      <c r="I26">
        <v>48.5</v>
      </c>
    </row>
    <row r="27" spans="1:11">
      <c r="A27">
        <v>24</v>
      </c>
      <c r="G27">
        <v>655.6</v>
      </c>
      <c r="H27">
        <v>35.5</v>
      </c>
      <c r="I27">
        <v>35.5</v>
      </c>
    </row>
    <row r="28" spans="1:11">
      <c r="A28">
        <v>25</v>
      </c>
      <c r="B28">
        <v>0</v>
      </c>
      <c r="C28">
        <v>25.6</v>
      </c>
      <c r="D28">
        <v>0</v>
      </c>
      <c r="E28">
        <v>0</v>
      </c>
      <c r="F28">
        <f>100-B28-C28-D28-E28</f>
        <v>74.400000000000006</v>
      </c>
      <c r="G28">
        <v>831.4</v>
      </c>
      <c r="H28">
        <v>35.799999999999997</v>
      </c>
      <c r="I28" t="s">
        <v>139</v>
      </c>
      <c r="J28" s="14" t="s">
        <v>140</v>
      </c>
      <c r="K28" t="s">
        <v>141</v>
      </c>
    </row>
    <row r="29" spans="1:11">
      <c r="A29">
        <v>26</v>
      </c>
      <c r="B29">
        <v>0</v>
      </c>
      <c r="C29">
        <v>25.5</v>
      </c>
      <c r="D29">
        <v>0.19</v>
      </c>
      <c r="E29">
        <v>0</v>
      </c>
      <c r="F29">
        <f t="shared" ref="F29:F36" si="0">100-B29-C29-D29-E29</f>
        <v>74.31</v>
      </c>
      <c r="G29">
        <v>799.8</v>
      </c>
      <c r="H29">
        <v>38.1</v>
      </c>
      <c r="I29" t="s">
        <v>139</v>
      </c>
      <c r="J29"/>
    </row>
    <row r="30" spans="1:11">
      <c r="A30">
        <v>27</v>
      </c>
      <c r="B30">
        <v>0</v>
      </c>
      <c r="C30">
        <v>26.1</v>
      </c>
      <c r="D30">
        <v>0.7</v>
      </c>
      <c r="E30">
        <v>0</v>
      </c>
      <c r="F30">
        <f t="shared" si="0"/>
        <v>73.2</v>
      </c>
      <c r="G30">
        <v>600.5</v>
      </c>
      <c r="H30">
        <v>47.3</v>
      </c>
      <c r="I30" t="s">
        <v>139</v>
      </c>
      <c r="J30"/>
    </row>
    <row r="31" spans="1:11">
      <c r="A31">
        <v>28</v>
      </c>
      <c r="B31">
        <v>0</v>
      </c>
      <c r="C31">
        <v>26.2</v>
      </c>
      <c r="D31">
        <v>3.6</v>
      </c>
      <c r="E31">
        <v>0</v>
      </c>
      <c r="F31">
        <f t="shared" si="0"/>
        <v>70.2</v>
      </c>
      <c r="G31">
        <v>495.9</v>
      </c>
      <c r="H31">
        <v>44.4</v>
      </c>
      <c r="I31" t="s">
        <v>139</v>
      </c>
      <c r="J31"/>
    </row>
    <row r="32" spans="1:11">
      <c r="A32">
        <v>29</v>
      </c>
      <c r="B32">
        <v>0.11</v>
      </c>
      <c r="C32">
        <v>30.9</v>
      </c>
      <c r="D32">
        <v>1.21</v>
      </c>
      <c r="E32">
        <v>0</v>
      </c>
      <c r="F32">
        <f t="shared" si="0"/>
        <v>67.780000000000015</v>
      </c>
      <c r="G32">
        <v>569.9</v>
      </c>
      <c r="H32">
        <v>45.8</v>
      </c>
      <c r="I32" t="s">
        <v>139</v>
      </c>
      <c r="J32"/>
    </row>
    <row r="33" spans="1:11">
      <c r="A33">
        <v>30</v>
      </c>
      <c r="B33">
        <v>0.24</v>
      </c>
      <c r="C33">
        <v>31</v>
      </c>
      <c r="D33">
        <v>1.18</v>
      </c>
      <c r="E33">
        <v>0</v>
      </c>
      <c r="F33">
        <f t="shared" si="0"/>
        <v>67.58</v>
      </c>
      <c r="G33">
        <v>632.1</v>
      </c>
      <c r="H33">
        <v>41.5</v>
      </c>
      <c r="I33" t="s">
        <v>139</v>
      </c>
      <c r="J33"/>
    </row>
    <row r="34" spans="1:11">
      <c r="A34">
        <v>31</v>
      </c>
      <c r="B34">
        <v>0.37</v>
      </c>
      <c r="C34">
        <v>31.4</v>
      </c>
      <c r="D34">
        <v>1.19</v>
      </c>
      <c r="E34">
        <v>0</v>
      </c>
      <c r="F34">
        <f t="shared" si="0"/>
        <v>67.039999999999992</v>
      </c>
      <c r="G34">
        <v>706.7</v>
      </c>
      <c r="H34">
        <v>48.1</v>
      </c>
      <c r="I34" t="s">
        <v>139</v>
      </c>
      <c r="J34"/>
    </row>
    <row r="35" spans="1:11">
      <c r="A35">
        <v>32</v>
      </c>
      <c r="B35">
        <v>0.31</v>
      </c>
      <c r="C35">
        <v>31.4</v>
      </c>
      <c r="D35">
        <v>5.09</v>
      </c>
      <c r="E35">
        <v>0</v>
      </c>
      <c r="F35">
        <f t="shared" si="0"/>
        <v>63.199999999999989</v>
      </c>
      <c r="G35">
        <v>742</v>
      </c>
      <c r="H35">
        <v>43.7</v>
      </c>
      <c r="I35" t="s">
        <v>139</v>
      </c>
      <c r="J35"/>
    </row>
    <row r="36" spans="1:11">
      <c r="A36">
        <v>33</v>
      </c>
      <c r="B36">
        <v>2</v>
      </c>
      <c r="C36">
        <v>30</v>
      </c>
      <c r="D36">
        <v>9.5</v>
      </c>
      <c r="E36">
        <v>0</v>
      </c>
      <c r="F36">
        <f t="shared" si="0"/>
        <v>58.5</v>
      </c>
      <c r="G36">
        <v>1161.3</v>
      </c>
      <c r="H36">
        <v>53.3</v>
      </c>
      <c r="I36">
        <v>54.1</v>
      </c>
      <c r="J36" t="s">
        <v>143</v>
      </c>
      <c r="K36" t="s">
        <v>144</v>
      </c>
    </row>
    <row r="37" spans="1:11">
      <c r="A37">
        <v>34</v>
      </c>
      <c r="G37">
        <v>1509.7</v>
      </c>
      <c r="H37">
        <v>31.8</v>
      </c>
      <c r="I37">
        <v>32.5</v>
      </c>
      <c r="J37"/>
    </row>
    <row r="38" spans="1:11">
      <c r="A38">
        <v>35</v>
      </c>
      <c r="G38">
        <v>1561.3</v>
      </c>
      <c r="H38">
        <v>25.1</v>
      </c>
      <c r="I38">
        <v>26.3</v>
      </c>
      <c r="J38"/>
    </row>
    <row r="39" spans="1:11">
      <c r="A39">
        <v>36</v>
      </c>
      <c r="B39">
        <v>0.31</v>
      </c>
      <c r="C39">
        <v>8.8000000000000007</v>
      </c>
      <c r="D39">
        <v>5.0999999999999996</v>
      </c>
      <c r="E39">
        <v>0</v>
      </c>
      <c r="F39">
        <f>100-B39-C39-D39-E39</f>
        <v>85.79</v>
      </c>
      <c r="G39">
        <v>880</v>
      </c>
      <c r="H39">
        <v>1.7</v>
      </c>
      <c r="I39">
        <v>1.7</v>
      </c>
      <c r="J39" t="s">
        <v>148</v>
      </c>
      <c r="K39" t="s">
        <v>149</v>
      </c>
    </row>
    <row r="40" spans="1:11">
      <c r="A40">
        <v>37</v>
      </c>
      <c r="G40">
        <v>1557</v>
      </c>
      <c r="H40">
        <v>16.8</v>
      </c>
      <c r="I40">
        <v>16.8</v>
      </c>
      <c r="J40"/>
    </row>
    <row r="41" spans="1:11">
      <c r="A41">
        <v>38</v>
      </c>
      <c r="G41">
        <v>1150</v>
      </c>
      <c r="H41">
        <v>12.2</v>
      </c>
      <c r="I41">
        <v>19</v>
      </c>
      <c r="J41"/>
    </row>
    <row r="42" spans="1:11">
      <c r="A42">
        <v>39</v>
      </c>
      <c r="G42">
        <v>1090</v>
      </c>
      <c r="H42">
        <v>9.1</v>
      </c>
      <c r="I42">
        <v>17</v>
      </c>
      <c r="J42"/>
    </row>
    <row r="43" spans="1:11">
      <c r="A43">
        <v>40</v>
      </c>
      <c r="B43">
        <v>0.35</v>
      </c>
      <c r="C43">
        <v>3.5</v>
      </c>
      <c r="D43">
        <v>5.8</v>
      </c>
      <c r="E43">
        <v>0</v>
      </c>
      <c r="F43">
        <f>100-B43-C43-D43-E43</f>
        <v>90.350000000000009</v>
      </c>
      <c r="G43">
        <v>824</v>
      </c>
      <c r="H43">
        <v>11.61629434954</v>
      </c>
      <c r="I43">
        <v>19</v>
      </c>
      <c r="J43" t="s">
        <v>150</v>
      </c>
      <c r="K43" t="s">
        <v>339</v>
      </c>
    </row>
    <row r="44" spans="1:11">
      <c r="A44">
        <v>41</v>
      </c>
      <c r="G44">
        <v>794</v>
      </c>
      <c r="H44">
        <v>27.122207621550501</v>
      </c>
      <c r="I44">
        <v>34</v>
      </c>
      <c r="J44"/>
    </row>
    <row r="45" spans="1:11">
      <c r="A45">
        <v>42</v>
      </c>
      <c r="G45">
        <v>800</v>
      </c>
      <c r="H45">
        <v>34.954007884362603</v>
      </c>
      <c r="I45">
        <v>42</v>
      </c>
      <c r="J45"/>
    </row>
    <row r="46" spans="1:11">
      <c r="A46">
        <v>43</v>
      </c>
      <c r="G46">
        <v>830</v>
      </c>
      <c r="H46">
        <v>34.480946123521598</v>
      </c>
      <c r="I46">
        <v>40</v>
      </c>
      <c r="J46"/>
    </row>
    <row r="47" spans="1:11">
      <c r="A47">
        <v>44</v>
      </c>
      <c r="G47">
        <v>877</v>
      </c>
      <c r="H47">
        <v>27.227332457292999</v>
      </c>
      <c r="I47">
        <v>32</v>
      </c>
      <c r="J47"/>
    </row>
    <row r="48" spans="1:11">
      <c r="A48">
        <v>45</v>
      </c>
      <c r="G48">
        <v>947</v>
      </c>
      <c r="H48">
        <v>15.1379763469119</v>
      </c>
      <c r="I48">
        <v>18</v>
      </c>
      <c r="J48"/>
    </row>
    <row r="49" spans="1:11">
      <c r="A49">
        <v>46</v>
      </c>
      <c r="B49">
        <v>0.7</v>
      </c>
      <c r="C49">
        <v>10.4</v>
      </c>
      <c r="D49">
        <v>9.6999999999999993</v>
      </c>
      <c r="E49">
        <v>0</v>
      </c>
      <c r="F49">
        <f>100-B49-C49-D49-E49</f>
        <v>79.199999999999989</v>
      </c>
      <c r="G49">
        <v>971</v>
      </c>
      <c r="H49">
        <v>4.8</v>
      </c>
      <c r="I49">
        <v>4.8</v>
      </c>
      <c r="J49" t="s">
        <v>151</v>
      </c>
      <c r="K49" t="s">
        <v>340</v>
      </c>
    </row>
    <row r="50" spans="1:11">
      <c r="A50">
        <v>47</v>
      </c>
      <c r="G50">
        <v>877</v>
      </c>
      <c r="H50">
        <v>7.8</v>
      </c>
      <c r="I50">
        <v>7.8</v>
      </c>
      <c r="J50"/>
    </row>
    <row r="51" spans="1:11">
      <c r="A51">
        <v>48</v>
      </c>
      <c r="G51">
        <v>879</v>
      </c>
      <c r="H51">
        <v>17.255533881774198</v>
      </c>
      <c r="I51">
        <v>21.7</v>
      </c>
      <c r="J51"/>
    </row>
    <row r="52" spans="1:11">
      <c r="A52">
        <v>49</v>
      </c>
      <c r="G52">
        <v>855</v>
      </c>
      <c r="H52">
        <v>29.119667543041199</v>
      </c>
      <c r="I52">
        <v>36.6</v>
      </c>
      <c r="J52"/>
    </row>
    <row r="53" spans="1:11">
      <c r="A53">
        <v>50</v>
      </c>
      <c r="G53">
        <v>804</v>
      </c>
      <c r="H53">
        <v>23.564713634258201</v>
      </c>
      <c r="I53">
        <v>26.6</v>
      </c>
      <c r="J53"/>
    </row>
    <row r="54" spans="1:11">
      <c r="A54">
        <v>51</v>
      </c>
      <c r="G54">
        <v>763</v>
      </c>
      <c r="H54">
        <v>13.247261601090701</v>
      </c>
      <c r="I54">
        <v>16.2</v>
      </c>
      <c r="J54"/>
    </row>
    <row r="55" spans="1:11">
      <c r="A55">
        <v>52</v>
      </c>
      <c r="G55">
        <v>671</v>
      </c>
      <c r="H55">
        <v>9.8100245950301002</v>
      </c>
      <c r="I55">
        <v>12</v>
      </c>
      <c r="J55"/>
    </row>
    <row r="56" spans="1:11">
      <c r="A56">
        <v>53</v>
      </c>
      <c r="G56">
        <v>611</v>
      </c>
      <c r="H56">
        <v>2.97645531467938</v>
      </c>
      <c r="I56">
        <v>4.7</v>
      </c>
      <c r="J56"/>
    </row>
    <row r="57" spans="1:11">
      <c r="A57">
        <v>54</v>
      </c>
      <c r="B57">
        <v>0.35</v>
      </c>
      <c r="C57">
        <v>1.1000000000000001</v>
      </c>
      <c r="D57">
        <v>4.0999999999999996</v>
      </c>
      <c r="E57">
        <v>0.38</v>
      </c>
      <c r="F57">
        <f>100-B57-C57-D57-E57</f>
        <v>94.070000000000022</v>
      </c>
      <c r="G57">
        <v>814.5</v>
      </c>
      <c r="H57">
        <v>14.1</v>
      </c>
      <c r="I57">
        <v>18.2</v>
      </c>
      <c r="J57" t="s">
        <v>154</v>
      </c>
      <c r="K57" t="s">
        <v>153</v>
      </c>
    </row>
    <row r="58" spans="1:11">
      <c r="A58">
        <v>55</v>
      </c>
      <c r="G58">
        <v>666.4</v>
      </c>
      <c r="H58">
        <v>27.9</v>
      </c>
      <c r="I58">
        <v>33.299999999999997</v>
      </c>
      <c r="J58"/>
    </row>
    <row r="59" spans="1:11">
      <c r="A59">
        <v>56</v>
      </c>
      <c r="G59">
        <v>715.4</v>
      </c>
      <c r="H59">
        <v>10.4</v>
      </c>
      <c r="I59">
        <v>12.8</v>
      </c>
      <c r="J59"/>
    </row>
    <row r="60" spans="1:11">
      <c r="A60">
        <v>57</v>
      </c>
      <c r="G60">
        <v>674.4</v>
      </c>
      <c r="H60">
        <v>12.5</v>
      </c>
      <c r="I60">
        <v>16.5</v>
      </c>
    </row>
    <row r="61" spans="1:11">
      <c r="A61">
        <v>58</v>
      </c>
      <c r="B61">
        <v>0.32</v>
      </c>
      <c r="C61">
        <v>5.8</v>
      </c>
      <c r="D61">
        <v>5</v>
      </c>
      <c r="E61">
        <v>0</v>
      </c>
      <c r="F61">
        <f>100-B61-C61-D61-E61</f>
        <v>88.88000000000001</v>
      </c>
      <c r="G61">
        <v>923.7</v>
      </c>
      <c r="H61">
        <v>51.7</v>
      </c>
      <c r="I61">
        <v>58.1</v>
      </c>
      <c r="J61" s="14" t="s">
        <v>155</v>
      </c>
      <c r="K61" t="s">
        <v>156</v>
      </c>
    </row>
    <row r="62" spans="1:11">
      <c r="A62">
        <v>59</v>
      </c>
      <c r="G62">
        <v>910.4</v>
      </c>
      <c r="H62">
        <v>58.4</v>
      </c>
      <c r="I62">
        <v>65.599999999999994</v>
      </c>
    </row>
    <row r="63" spans="1:11">
      <c r="A63">
        <v>60</v>
      </c>
      <c r="G63">
        <v>889.9</v>
      </c>
      <c r="H63">
        <v>46.7</v>
      </c>
      <c r="I63">
        <v>52.1</v>
      </c>
    </row>
    <row r="64" spans="1:11">
      <c r="A64">
        <v>61</v>
      </c>
      <c r="G64">
        <v>833.4</v>
      </c>
      <c r="H64">
        <v>13.5</v>
      </c>
      <c r="I64">
        <v>17.899999999999999</v>
      </c>
    </row>
    <row r="65" spans="1:11">
      <c r="A65">
        <v>62</v>
      </c>
      <c r="G65">
        <v>920.9</v>
      </c>
      <c r="H65">
        <v>51.6</v>
      </c>
      <c r="I65">
        <v>58.3</v>
      </c>
    </row>
    <row r="66" spans="1:11">
      <c r="A66">
        <v>63</v>
      </c>
      <c r="G66">
        <v>882.1</v>
      </c>
      <c r="H66">
        <v>40.700000000000003</v>
      </c>
      <c r="I66">
        <v>41.4</v>
      </c>
    </row>
    <row r="67" spans="1:11">
      <c r="A67">
        <v>64</v>
      </c>
      <c r="G67">
        <v>898.5</v>
      </c>
      <c r="H67">
        <v>25.9</v>
      </c>
      <c r="I67">
        <v>27.6</v>
      </c>
    </row>
    <row r="68" spans="1:11">
      <c r="A68">
        <v>65</v>
      </c>
      <c r="G68">
        <v>724</v>
      </c>
      <c r="H68">
        <v>13</v>
      </c>
      <c r="I68">
        <v>22.9</v>
      </c>
    </row>
    <row r="69" spans="1:11">
      <c r="A69">
        <v>66</v>
      </c>
      <c r="B69">
        <v>1.7000000000000001E-2</v>
      </c>
      <c r="C69">
        <v>4.5</v>
      </c>
      <c r="D69">
        <v>7.9</v>
      </c>
      <c r="E69">
        <v>0</v>
      </c>
      <c r="F69">
        <f>100-B69-C69-D69-E69</f>
        <v>87.582999999999998</v>
      </c>
      <c r="G69">
        <v>592.20000000000005</v>
      </c>
      <c r="H69">
        <v>16.899999999999999</v>
      </c>
      <c r="I69">
        <v>35.9</v>
      </c>
      <c r="J69" s="14" t="s">
        <v>157</v>
      </c>
      <c r="K69" t="s">
        <v>158</v>
      </c>
    </row>
    <row r="70" spans="1:11">
      <c r="A70">
        <v>67</v>
      </c>
      <c r="B70">
        <v>0.18</v>
      </c>
      <c r="C70">
        <v>3.34</v>
      </c>
      <c r="D70">
        <v>6.57</v>
      </c>
      <c r="E70">
        <v>0</v>
      </c>
      <c r="F70">
        <f>100-B70-C70-D70-E70</f>
        <v>89.91</v>
      </c>
      <c r="G70">
        <v>635</v>
      </c>
      <c r="H70">
        <v>17.100000000000001</v>
      </c>
      <c r="I70">
        <v>19.7</v>
      </c>
      <c r="J70" s="14" t="s">
        <v>159</v>
      </c>
      <c r="K70" t="s">
        <v>160</v>
      </c>
    </row>
    <row r="71" spans="1:11">
      <c r="A71">
        <v>68</v>
      </c>
      <c r="G71">
        <v>704</v>
      </c>
      <c r="H71">
        <v>16.899999999999999</v>
      </c>
      <c r="I71">
        <v>18.399999999999999</v>
      </c>
    </row>
    <row r="72" spans="1:11">
      <c r="A72">
        <v>69</v>
      </c>
      <c r="G72">
        <v>648</v>
      </c>
      <c r="H72">
        <v>13.2</v>
      </c>
      <c r="I72">
        <v>14.5</v>
      </c>
    </row>
    <row r="73" spans="1:11">
      <c r="A73">
        <v>70</v>
      </c>
      <c r="G73">
        <v>631</v>
      </c>
      <c r="H73">
        <v>11.4</v>
      </c>
      <c r="I73">
        <v>12.5</v>
      </c>
    </row>
    <row r="74" spans="1:11">
      <c r="A74">
        <v>71</v>
      </c>
      <c r="G74">
        <v>671</v>
      </c>
      <c r="H74">
        <v>8.4</v>
      </c>
      <c r="I74">
        <v>9.1</v>
      </c>
    </row>
    <row r="75" spans="1:11">
      <c r="A75">
        <v>72</v>
      </c>
      <c r="G75">
        <v>550</v>
      </c>
      <c r="H75">
        <v>0.9</v>
      </c>
      <c r="I75">
        <v>0.9</v>
      </c>
    </row>
    <row r="76" spans="1:11">
      <c r="A76">
        <v>73</v>
      </c>
      <c r="G76">
        <v>640</v>
      </c>
      <c r="H76">
        <v>19.399999999999999</v>
      </c>
      <c r="I76">
        <v>23.6</v>
      </c>
    </row>
    <row r="77" spans="1:11">
      <c r="A77">
        <v>74</v>
      </c>
      <c r="B77">
        <v>0.92</v>
      </c>
      <c r="C77">
        <v>28.8</v>
      </c>
      <c r="D77">
        <v>9.3699999999999992</v>
      </c>
      <c r="E77">
        <v>3.5000000000000003E-2</v>
      </c>
      <c r="F77">
        <f>100-B77-C77-D77-E77</f>
        <v>60.875000000000007</v>
      </c>
      <c r="G77">
        <v>997</v>
      </c>
      <c r="H77">
        <v>37</v>
      </c>
      <c r="I77">
        <v>44</v>
      </c>
      <c r="J77" s="14" t="s">
        <v>161</v>
      </c>
      <c r="K77" t="s">
        <v>162</v>
      </c>
    </row>
    <row r="78" spans="1:11">
      <c r="A78">
        <v>75</v>
      </c>
      <c r="G78">
        <v>979</v>
      </c>
      <c r="H78">
        <v>39.799999999999997</v>
      </c>
      <c r="I78">
        <v>48.9</v>
      </c>
    </row>
    <row r="79" spans="1:11">
      <c r="A79">
        <v>76</v>
      </c>
      <c r="G79">
        <v>868</v>
      </c>
      <c r="H79">
        <v>48.9</v>
      </c>
      <c r="I79">
        <v>58.9</v>
      </c>
    </row>
    <row r="80" spans="1:11">
      <c r="A80">
        <v>77</v>
      </c>
      <c r="G80">
        <v>801</v>
      </c>
      <c r="H80">
        <v>50</v>
      </c>
      <c r="I80">
        <v>53</v>
      </c>
    </row>
    <row r="81" spans="1:11">
      <c r="A81">
        <v>78</v>
      </c>
      <c r="G81">
        <v>789</v>
      </c>
      <c r="H81">
        <v>55</v>
      </c>
      <c r="I81">
        <v>62</v>
      </c>
    </row>
    <row r="82" spans="1:11">
      <c r="A82">
        <v>79</v>
      </c>
      <c r="G82">
        <v>869</v>
      </c>
      <c r="H82">
        <v>51.8</v>
      </c>
      <c r="I82">
        <v>61.5</v>
      </c>
    </row>
    <row r="83" spans="1:11">
      <c r="A83">
        <v>80</v>
      </c>
      <c r="B83">
        <v>0.75</v>
      </c>
      <c r="C83">
        <v>28.89</v>
      </c>
      <c r="D83">
        <v>9.48</v>
      </c>
      <c r="E83">
        <v>3.5000000000000003E-2</v>
      </c>
      <c r="F83">
        <f>100-B83-C83-D83-E83</f>
        <v>60.844999999999999</v>
      </c>
      <c r="G83">
        <v>822</v>
      </c>
      <c r="H83">
        <v>47.7</v>
      </c>
      <c r="I83">
        <v>55.9</v>
      </c>
    </row>
    <row r="84" spans="1:11">
      <c r="A84">
        <v>81</v>
      </c>
      <c r="G84">
        <v>957</v>
      </c>
      <c r="H84">
        <v>34.5</v>
      </c>
      <c r="I84">
        <v>42.9</v>
      </c>
    </row>
    <row r="85" spans="1:11">
      <c r="A85">
        <v>82</v>
      </c>
      <c r="B85">
        <v>0.56000000000000005</v>
      </c>
      <c r="C85">
        <v>29.06</v>
      </c>
      <c r="D85">
        <v>9.57</v>
      </c>
      <c r="E85">
        <v>0.04</v>
      </c>
      <c r="F85">
        <f>100-B85-C85-D85-E85</f>
        <v>60.769999999999996</v>
      </c>
      <c r="G85">
        <v>904</v>
      </c>
      <c r="H85">
        <v>28.4</v>
      </c>
      <c r="I85">
        <v>36.4</v>
      </c>
    </row>
    <row r="86" spans="1:11">
      <c r="A86">
        <v>83</v>
      </c>
      <c r="B86">
        <v>0.36</v>
      </c>
      <c r="C86">
        <v>28.86</v>
      </c>
      <c r="D86">
        <v>9.52</v>
      </c>
      <c r="E86">
        <v>0.04</v>
      </c>
      <c r="F86">
        <f>100-B86-C86-D86-E86</f>
        <v>61.220000000000006</v>
      </c>
      <c r="G86">
        <v>841</v>
      </c>
      <c r="H86">
        <v>24.9</v>
      </c>
      <c r="I86">
        <v>32.6</v>
      </c>
    </row>
    <row r="87" spans="1:11">
      <c r="A87">
        <v>84</v>
      </c>
      <c r="B87">
        <v>1</v>
      </c>
      <c r="C87">
        <v>28</v>
      </c>
      <c r="D87">
        <v>12</v>
      </c>
      <c r="E87">
        <v>0</v>
      </c>
      <c r="F87">
        <f>100-B87-C87-D87-E87</f>
        <v>59</v>
      </c>
      <c r="G87">
        <v>884.6</v>
      </c>
      <c r="H87">
        <v>58.4</v>
      </c>
      <c r="I87">
        <v>66.2</v>
      </c>
      <c r="J87" s="14" t="s">
        <v>164</v>
      </c>
      <c r="K87" t="s">
        <v>163</v>
      </c>
    </row>
    <row r="88" spans="1:11">
      <c r="A88">
        <v>85</v>
      </c>
      <c r="G88">
        <v>889.6</v>
      </c>
      <c r="H88">
        <v>51</v>
      </c>
      <c r="I88">
        <v>63.7</v>
      </c>
    </row>
    <row r="89" spans="1:11">
      <c r="A89">
        <v>86</v>
      </c>
      <c r="G89">
        <v>937.8</v>
      </c>
      <c r="H89">
        <v>35.799999999999997</v>
      </c>
      <c r="I89">
        <v>45.9</v>
      </c>
    </row>
    <row r="90" spans="1:11">
      <c r="A90">
        <v>87</v>
      </c>
      <c r="G90">
        <v>986</v>
      </c>
      <c r="H90">
        <v>19.7</v>
      </c>
      <c r="I90">
        <v>32.6</v>
      </c>
    </row>
    <row r="91" spans="1:11">
      <c r="A91">
        <v>88</v>
      </c>
      <c r="G91">
        <v>1065.3</v>
      </c>
      <c r="H91">
        <v>1.4</v>
      </c>
      <c r="I91">
        <v>26.9</v>
      </c>
    </row>
    <row r="92" spans="1:11">
      <c r="A92">
        <v>89</v>
      </c>
      <c r="B92">
        <v>0.8</v>
      </c>
      <c r="C92">
        <v>12</v>
      </c>
      <c r="D92">
        <v>7</v>
      </c>
      <c r="E92">
        <v>0</v>
      </c>
      <c r="F92">
        <f t="shared" ref="F92:F105" si="1">100-B92-C92-D92-E92</f>
        <v>80.2</v>
      </c>
      <c r="G92">
        <v>973</v>
      </c>
      <c r="H92">
        <v>2.6</v>
      </c>
      <c r="I92">
        <v>2.6</v>
      </c>
      <c r="J92" s="14" t="s">
        <v>155</v>
      </c>
      <c r="K92" t="s">
        <v>165</v>
      </c>
    </row>
    <row r="93" spans="1:11">
      <c r="A93">
        <v>90</v>
      </c>
      <c r="G93">
        <v>998</v>
      </c>
      <c r="H93">
        <v>25.4</v>
      </c>
      <c r="I93">
        <v>34.799999999999997</v>
      </c>
    </row>
    <row r="94" spans="1:11">
      <c r="A94">
        <v>91</v>
      </c>
      <c r="B94">
        <v>0.8</v>
      </c>
      <c r="C94">
        <v>15</v>
      </c>
      <c r="D94">
        <v>7</v>
      </c>
      <c r="E94">
        <v>0</v>
      </c>
      <c r="F94">
        <f t="shared" si="1"/>
        <v>77.2</v>
      </c>
      <c r="G94">
        <v>1063</v>
      </c>
      <c r="H94">
        <v>15.5</v>
      </c>
      <c r="I94">
        <v>22.8</v>
      </c>
    </row>
    <row r="95" spans="1:11">
      <c r="A95">
        <v>92</v>
      </c>
      <c r="G95">
        <v>1020</v>
      </c>
      <c r="H95">
        <v>28.4</v>
      </c>
      <c r="I95">
        <v>37.299999999999997</v>
      </c>
    </row>
    <row r="96" spans="1:11">
      <c r="A96">
        <v>93</v>
      </c>
      <c r="B96">
        <v>0.8</v>
      </c>
      <c r="C96">
        <v>20</v>
      </c>
      <c r="D96">
        <v>7</v>
      </c>
      <c r="E96">
        <v>0</v>
      </c>
      <c r="F96">
        <f t="shared" si="1"/>
        <v>72.2</v>
      </c>
      <c r="G96">
        <v>1080</v>
      </c>
      <c r="H96">
        <v>19.3</v>
      </c>
      <c r="I96">
        <v>25.3</v>
      </c>
    </row>
    <row r="97" spans="1:11">
      <c r="A97">
        <v>94</v>
      </c>
      <c r="G97">
        <v>1005</v>
      </c>
      <c r="H97">
        <v>27.3</v>
      </c>
      <c r="I97">
        <v>34.299999999999997</v>
      </c>
    </row>
    <row r="98" spans="1:11">
      <c r="A98">
        <v>95</v>
      </c>
      <c r="B98">
        <v>1.2</v>
      </c>
      <c r="C98">
        <v>30.5</v>
      </c>
      <c r="D98">
        <v>2.1</v>
      </c>
      <c r="E98">
        <v>0</v>
      </c>
      <c r="F98">
        <f t="shared" si="1"/>
        <v>66.2</v>
      </c>
      <c r="G98">
        <v>935</v>
      </c>
      <c r="H98">
        <v>75</v>
      </c>
      <c r="I98">
        <v>84.3</v>
      </c>
      <c r="J98" s="14" t="s">
        <v>166</v>
      </c>
      <c r="K98" t="s">
        <v>167</v>
      </c>
    </row>
    <row r="99" spans="1:11">
      <c r="A99">
        <v>96</v>
      </c>
      <c r="G99">
        <v>850</v>
      </c>
      <c r="H99">
        <v>35</v>
      </c>
      <c r="I99">
        <v>36.6</v>
      </c>
    </row>
    <row r="100" spans="1:11">
      <c r="A100">
        <v>97</v>
      </c>
      <c r="B100">
        <v>1.2</v>
      </c>
      <c r="C100">
        <v>30.5</v>
      </c>
      <c r="D100">
        <v>8</v>
      </c>
      <c r="E100">
        <v>0</v>
      </c>
      <c r="F100">
        <f t="shared" si="1"/>
        <v>60.3</v>
      </c>
      <c r="G100">
        <v>895</v>
      </c>
      <c r="H100">
        <v>65</v>
      </c>
      <c r="I100">
        <v>73.599999999999994</v>
      </c>
    </row>
    <row r="101" spans="1:11">
      <c r="A101">
        <v>98</v>
      </c>
      <c r="G101">
        <v>1180</v>
      </c>
      <c r="H101">
        <v>37</v>
      </c>
      <c r="I101">
        <v>39.1</v>
      </c>
    </row>
    <row r="102" spans="1:11">
      <c r="A102">
        <v>99</v>
      </c>
      <c r="B102">
        <v>0.05</v>
      </c>
      <c r="C102">
        <v>14.91</v>
      </c>
      <c r="D102">
        <v>0</v>
      </c>
      <c r="E102">
        <v>0</v>
      </c>
      <c r="F102">
        <f t="shared" si="1"/>
        <v>85.04</v>
      </c>
      <c r="G102">
        <v>881</v>
      </c>
      <c r="H102">
        <v>18.100000000000001</v>
      </c>
      <c r="I102">
        <v>18.3</v>
      </c>
      <c r="J102" s="14" t="s">
        <v>168</v>
      </c>
      <c r="K102" t="s">
        <v>169</v>
      </c>
    </row>
    <row r="103" spans="1:11">
      <c r="A103">
        <v>100</v>
      </c>
      <c r="B103">
        <v>0.05</v>
      </c>
      <c r="C103">
        <v>16.86</v>
      </c>
      <c r="D103">
        <v>0</v>
      </c>
      <c r="E103">
        <v>0</v>
      </c>
      <c r="F103">
        <f t="shared" si="1"/>
        <v>83.09</v>
      </c>
      <c r="G103">
        <v>769.4</v>
      </c>
      <c r="H103">
        <v>28.3</v>
      </c>
      <c r="I103">
        <v>29.7</v>
      </c>
    </row>
    <row r="104" spans="1:11">
      <c r="A104">
        <v>101</v>
      </c>
      <c r="B104">
        <v>0.05</v>
      </c>
      <c r="C104">
        <v>18.66</v>
      </c>
      <c r="D104">
        <v>0</v>
      </c>
      <c r="E104">
        <v>0</v>
      </c>
      <c r="F104">
        <f t="shared" si="1"/>
        <v>81.290000000000006</v>
      </c>
      <c r="G104">
        <v>695.7</v>
      </c>
      <c r="H104">
        <v>20.100000000000001</v>
      </c>
      <c r="I104">
        <v>20.6</v>
      </c>
    </row>
    <row r="105" spans="1:11">
      <c r="A105">
        <v>102</v>
      </c>
      <c r="B105">
        <v>0.32</v>
      </c>
      <c r="C105">
        <v>3.85</v>
      </c>
      <c r="D105">
        <v>4.18</v>
      </c>
      <c r="E105">
        <v>1.53</v>
      </c>
      <c r="F105">
        <f t="shared" si="1"/>
        <v>90.12</v>
      </c>
      <c r="G105">
        <v>895.1</v>
      </c>
      <c r="H105">
        <v>14.1</v>
      </c>
      <c r="I105">
        <v>22.1</v>
      </c>
      <c r="J105" s="14" t="s">
        <v>170</v>
      </c>
      <c r="K105" t="s">
        <v>171</v>
      </c>
    </row>
    <row r="106" spans="1:11">
      <c r="A106">
        <v>103</v>
      </c>
      <c r="G106">
        <v>920.4</v>
      </c>
      <c r="H106">
        <v>34.4</v>
      </c>
      <c r="I106">
        <v>34.9</v>
      </c>
    </row>
    <row r="107" spans="1:11">
      <c r="A107">
        <v>104</v>
      </c>
      <c r="G107">
        <v>1141.2</v>
      </c>
      <c r="H107">
        <v>12</v>
      </c>
      <c r="I107">
        <v>11.9</v>
      </c>
    </row>
    <row r="108" spans="1:11">
      <c r="A108">
        <v>105</v>
      </c>
      <c r="B108">
        <v>3.5000000000000001E-3</v>
      </c>
      <c r="C108">
        <v>0.1</v>
      </c>
      <c r="D108">
        <v>6.81</v>
      </c>
      <c r="E108">
        <v>8.0000000000000002E-3</v>
      </c>
      <c r="F108">
        <f t="shared" ref="F108:F112" si="2">100-B108-C108-D108-E108</f>
        <v>93.078500000000005</v>
      </c>
      <c r="G108">
        <v>465</v>
      </c>
      <c r="H108">
        <v>18.5</v>
      </c>
      <c r="I108">
        <v>31.1</v>
      </c>
      <c r="J108" s="14" t="s">
        <v>159</v>
      </c>
      <c r="K108" t="s">
        <v>341</v>
      </c>
    </row>
    <row r="109" spans="1:11">
      <c r="A109">
        <v>106</v>
      </c>
      <c r="B109">
        <v>1.5E-3</v>
      </c>
      <c r="C109">
        <v>0.1</v>
      </c>
      <c r="D109">
        <v>8.1</v>
      </c>
      <c r="E109">
        <v>7.0000000000000001E-3</v>
      </c>
      <c r="F109">
        <f t="shared" si="2"/>
        <v>91.791500000000013</v>
      </c>
      <c r="G109">
        <v>527</v>
      </c>
      <c r="H109">
        <v>11.9</v>
      </c>
      <c r="I109">
        <v>16.399999999999999</v>
      </c>
    </row>
    <row r="110" spans="1:11">
      <c r="A110">
        <v>107</v>
      </c>
      <c r="B110">
        <v>0.04</v>
      </c>
      <c r="C110">
        <v>0.13</v>
      </c>
      <c r="D110">
        <v>9.74</v>
      </c>
      <c r="E110">
        <v>7.0000000000000001E-3</v>
      </c>
      <c r="F110">
        <f t="shared" si="2"/>
        <v>90.082999999999998</v>
      </c>
      <c r="G110">
        <v>626</v>
      </c>
      <c r="H110">
        <v>11.6</v>
      </c>
      <c r="I110">
        <v>12.7</v>
      </c>
    </row>
    <row r="111" spans="1:11">
      <c r="A111">
        <v>108</v>
      </c>
      <c r="B111">
        <v>0.31</v>
      </c>
      <c r="C111">
        <v>6.67</v>
      </c>
      <c r="D111">
        <v>5.94</v>
      </c>
      <c r="E111">
        <v>0.02</v>
      </c>
      <c r="F111">
        <f t="shared" si="2"/>
        <v>87.06</v>
      </c>
      <c r="G111">
        <v>728.1</v>
      </c>
      <c r="H111">
        <v>33</v>
      </c>
      <c r="I111">
        <v>33.200000000000003</v>
      </c>
      <c r="J111" s="14" t="s">
        <v>173</v>
      </c>
      <c r="K111" t="s">
        <v>174</v>
      </c>
    </row>
    <row r="112" spans="1:11">
      <c r="A112">
        <v>109</v>
      </c>
      <c r="B112">
        <v>0.47</v>
      </c>
      <c r="C112">
        <v>26</v>
      </c>
      <c r="D112">
        <v>9.6999999999999993</v>
      </c>
      <c r="E112">
        <v>0</v>
      </c>
      <c r="F112">
        <f t="shared" si="2"/>
        <v>63.83</v>
      </c>
      <c r="G112">
        <v>945</v>
      </c>
      <c r="H112">
        <v>20.6</v>
      </c>
      <c r="I112">
        <v>22.1</v>
      </c>
      <c r="J112" s="14" t="s">
        <v>159</v>
      </c>
    </row>
    <row r="113" spans="1:11">
      <c r="A113">
        <v>110</v>
      </c>
      <c r="G113">
        <v>882</v>
      </c>
      <c r="H113">
        <v>26.7</v>
      </c>
      <c r="I113">
        <v>30.3</v>
      </c>
    </row>
    <row r="114" spans="1:11">
      <c r="A114">
        <v>111</v>
      </c>
      <c r="B114">
        <v>0.17</v>
      </c>
      <c r="C114">
        <v>3.3</v>
      </c>
      <c r="D114">
        <v>1.7</v>
      </c>
      <c r="E114">
        <v>0.22</v>
      </c>
      <c r="F114">
        <f>100-B114-C114-D114-E114</f>
        <v>94.61</v>
      </c>
      <c r="G114">
        <v>957</v>
      </c>
      <c r="H114">
        <v>11.5</v>
      </c>
      <c r="I114">
        <v>15.5</v>
      </c>
      <c r="J114" s="14" t="s">
        <v>175</v>
      </c>
      <c r="K114" t="s">
        <v>176</v>
      </c>
    </row>
    <row r="115" spans="1:11">
      <c r="A115">
        <v>112</v>
      </c>
      <c r="B115">
        <v>0.16</v>
      </c>
      <c r="C115">
        <v>4.7</v>
      </c>
      <c r="D115">
        <v>1.6</v>
      </c>
      <c r="E115">
        <v>0.22</v>
      </c>
      <c r="F115">
        <f>100-B115-C115-D115-E115</f>
        <v>93.320000000000007</v>
      </c>
      <c r="G115">
        <v>1215</v>
      </c>
      <c r="H115">
        <v>7.6</v>
      </c>
      <c r="I115">
        <v>11.5</v>
      </c>
    </row>
    <row r="116" spans="1:11">
      <c r="A116">
        <v>113</v>
      </c>
      <c r="B116">
        <v>0.3</v>
      </c>
      <c r="C116">
        <v>8.5</v>
      </c>
      <c r="D116">
        <v>5.6</v>
      </c>
      <c r="E116">
        <v>0</v>
      </c>
      <c r="F116">
        <f>100-B116-C116-D116-E116</f>
        <v>85.600000000000009</v>
      </c>
      <c r="G116">
        <v>887.4</v>
      </c>
      <c r="H116">
        <v>18.100000000000001</v>
      </c>
      <c r="I116">
        <v>31.7</v>
      </c>
      <c r="J116" s="14" t="s">
        <v>145</v>
      </c>
      <c r="K116" t="s">
        <v>177</v>
      </c>
    </row>
    <row r="117" spans="1:11">
      <c r="A117">
        <v>114</v>
      </c>
      <c r="G117">
        <v>783.3</v>
      </c>
      <c r="H117">
        <v>26</v>
      </c>
      <c r="I117">
        <v>37.799999999999997</v>
      </c>
    </row>
    <row r="118" spans="1:11">
      <c r="A118">
        <v>115</v>
      </c>
      <c r="G118">
        <v>732.1</v>
      </c>
      <c r="H118">
        <v>74.8</v>
      </c>
      <c r="I118">
        <v>77</v>
      </c>
    </row>
    <row r="119" spans="1:11">
      <c r="A119">
        <v>116</v>
      </c>
      <c r="B119">
        <v>0.7</v>
      </c>
      <c r="C119">
        <v>12</v>
      </c>
      <c r="D119">
        <v>5.5</v>
      </c>
      <c r="E119">
        <v>0</v>
      </c>
      <c r="F119">
        <f>100-B119-C119-D119-E119</f>
        <v>81.8</v>
      </c>
      <c r="G119">
        <v>1416.8</v>
      </c>
      <c r="H119">
        <v>5.9</v>
      </c>
      <c r="I119">
        <v>8.3000000000000007</v>
      </c>
      <c r="J119" s="14" t="s">
        <v>145</v>
      </c>
      <c r="K119" t="s">
        <v>178</v>
      </c>
    </row>
    <row r="120" spans="1:11">
      <c r="A120">
        <v>117</v>
      </c>
      <c r="G120">
        <v>1233.5999999999999</v>
      </c>
      <c r="H120">
        <v>16</v>
      </c>
      <c r="I120">
        <v>27</v>
      </c>
    </row>
    <row r="121" spans="1:11">
      <c r="A121">
        <v>118</v>
      </c>
      <c r="G121">
        <v>1056.2</v>
      </c>
      <c r="H121">
        <v>32.700000000000003</v>
      </c>
      <c r="I121">
        <v>42.1</v>
      </c>
    </row>
    <row r="122" spans="1:11">
      <c r="A122">
        <v>119</v>
      </c>
      <c r="G122">
        <v>1001.8</v>
      </c>
      <c r="H122">
        <v>41.1</v>
      </c>
      <c r="I122">
        <v>46</v>
      </c>
    </row>
    <row r="123" spans="1:11">
      <c r="A123">
        <v>120</v>
      </c>
      <c r="B123">
        <v>0.5</v>
      </c>
      <c r="C123">
        <v>12</v>
      </c>
      <c r="D123">
        <v>7</v>
      </c>
      <c r="E123">
        <v>0</v>
      </c>
      <c r="F123">
        <f>100-B123-C123-D123-E123</f>
        <v>80.5</v>
      </c>
      <c r="G123">
        <v>1064</v>
      </c>
      <c r="H123">
        <v>10.4</v>
      </c>
      <c r="I123">
        <v>18</v>
      </c>
      <c r="J123" s="14" t="s">
        <v>155</v>
      </c>
      <c r="K123" t="s">
        <v>179</v>
      </c>
    </row>
    <row r="124" spans="1:11">
      <c r="A124">
        <v>121</v>
      </c>
      <c r="G124">
        <v>909</v>
      </c>
      <c r="H124">
        <v>22.2</v>
      </c>
      <c r="I124">
        <v>30.5</v>
      </c>
    </row>
    <row r="125" spans="1:11">
      <c r="A125">
        <v>122</v>
      </c>
      <c r="G125">
        <v>861.4</v>
      </c>
      <c r="H125">
        <v>30.2</v>
      </c>
      <c r="I125">
        <v>35.799999999999997</v>
      </c>
    </row>
    <row r="126" spans="1:11">
      <c r="A126">
        <v>123</v>
      </c>
      <c r="B126">
        <v>1.27</v>
      </c>
      <c r="C126">
        <v>28.4</v>
      </c>
      <c r="D126">
        <v>8.3000000000000007</v>
      </c>
      <c r="E126">
        <v>0.25</v>
      </c>
      <c r="F126">
        <f>100-B126-C126-D126-E126</f>
        <v>61.780000000000015</v>
      </c>
      <c r="G126">
        <v>1456.8</v>
      </c>
      <c r="H126">
        <v>3</v>
      </c>
      <c r="I126">
        <v>4.7</v>
      </c>
      <c r="J126" s="14" t="s">
        <v>180</v>
      </c>
      <c r="K126" t="s">
        <v>181</v>
      </c>
    </row>
    <row r="127" spans="1:11">
      <c r="A127">
        <v>124</v>
      </c>
      <c r="G127">
        <v>1047.5999999999999</v>
      </c>
      <c r="H127">
        <v>24.6</v>
      </c>
      <c r="I127">
        <v>24.9</v>
      </c>
    </row>
    <row r="128" spans="1:11">
      <c r="A128">
        <v>125</v>
      </c>
      <c r="G128">
        <v>962.5</v>
      </c>
      <c r="H128">
        <v>47.4</v>
      </c>
      <c r="I128">
        <v>48.6</v>
      </c>
    </row>
    <row r="129" spans="1:11">
      <c r="A129">
        <v>126</v>
      </c>
      <c r="G129">
        <v>884.5</v>
      </c>
      <c r="H129">
        <v>55.7</v>
      </c>
      <c r="I129">
        <v>57.1</v>
      </c>
    </row>
    <row r="130" spans="1:11">
      <c r="A130">
        <v>127</v>
      </c>
      <c r="B130">
        <v>0.8</v>
      </c>
      <c r="C130">
        <v>31.52</v>
      </c>
      <c r="D130">
        <v>8.73</v>
      </c>
      <c r="E130">
        <v>0</v>
      </c>
      <c r="F130">
        <f>100-B130-C130-D130-E130</f>
        <v>58.95</v>
      </c>
      <c r="G130">
        <v>764.8</v>
      </c>
      <c r="H130">
        <v>57.8</v>
      </c>
      <c r="I130">
        <v>64.599999999999994</v>
      </c>
      <c r="J130" s="14" t="s">
        <v>182</v>
      </c>
      <c r="K130" t="s">
        <v>183</v>
      </c>
    </row>
    <row r="131" spans="1:11">
      <c r="A131">
        <v>128</v>
      </c>
      <c r="G131">
        <v>749.2</v>
      </c>
      <c r="H131">
        <v>61.8</v>
      </c>
      <c r="I131">
        <v>66.8</v>
      </c>
    </row>
    <row r="132" spans="1:11">
      <c r="A132">
        <v>129</v>
      </c>
      <c r="G132">
        <v>844.2</v>
      </c>
      <c r="H132">
        <v>52.1</v>
      </c>
      <c r="I132">
        <v>54.6</v>
      </c>
    </row>
    <row r="133" spans="1:11">
      <c r="A133">
        <v>130</v>
      </c>
      <c r="G133">
        <v>895.6</v>
      </c>
      <c r="H133">
        <v>46.2</v>
      </c>
      <c r="I133">
        <v>49.5</v>
      </c>
    </row>
    <row r="134" spans="1:11">
      <c r="A134">
        <v>131</v>
      </c>
      <c r="B134">
        <v>0.6</v>
      </c>
      <c r="C134">
        <v>21.59</v>
      </c>
      <c r="D134">
        <v>0</v>
      </c>
      <c r="E134">
        <v>0</v>
      </c>
      <c r="F134">
        <f>100-B134-C134-D134-E134</f>
        <v>77.81</v>
      </c>
      <c r="G134">
        <v>857</v>
      </c>
      <c r="H134">
        <v>65.5</v>
      </c>
      <c r="I134">
        <v>66.8</v>
      </c>
      <c r="J134" s="14" t="s">
        <v>185</v>
      </c>
      <c r="K134" t="s">
        <v>184</v>
      </c>
    </row>
    <row r="135" spans="1:11">
      <c r="A135">
        <v>132</v>
      </c>
      <c r="B135">
        <v>0.63</v>
      </c>
      <c r="C135">
        <v>21.78</v>
      </c>
      <c r="D135">
        <v>2.97</v>
      </c>
      <c r="E135">
        <v>0</v>
      </c>
      <c r="F135">
        <f t="shared" ref="F135:F140" si="3">100-B135-C135-D135-E135</f>
        <v>74.62</v>
      </c>
      <c r="G135">
        <v>675.2</v>
      </c>
      <c r="H135">
        <v>80.400000000000006</v>
      </c>
      <c r="I135">
        <v>84.4</v>
      </c>
    </row>
    <row r="136" spans="1:11">
      <c r="A136">
        <v>133</v>
      </c>
      <c r="B136">
        <v>0.6</v>
      </c>
      <c r="C136">
        <v>22</v>
      </c>
      <c r="D136">
        <v>5.86</v>
      </c>
      <c r="E136">
        <v>0</v>
      </c>
      <c r="F136">
        <f t="shared" si="3"/>
        <v>71.540000000000006</v>
      </c>
      <c r="G136">
        <v>690.4</v>
      </c>
      <c r="H136">
        <v>48.2</v>
      </c>
      <c r="I136">
        <v>55.9</v>
      </c>
    </row>
    <row r="137" spans="1:11">
      <c r="A137">
        <v>134</v>
      </c>
      <c r="B137">
        <v>0.86</v>
      </c>
      <c r="C137">
        <v>22.8</v>
      </c>
      <c r="D137">
        <v>8.48</v>
      </c>
      <c r="E137">
        <v>0</v>
      </c>
      <c r="F137">
        <f t="shared" si="3"/>
        <v>67.86</v>
      </c>
      <c r="G137">
        <v>757.3</v>
      </c>
      <c r="H137">
        <v>62.8</v>
      </c>
      <c r="I137">
        <v>71.400000000000006</v>
      </c>
      <c r="J137" s="14" t="s">
        <v>186</v>
      </c>
      <c r="K137" t="s">
        <v>187</v>
      </c>
    </row>
    <row r="138" spans="1:11">
      <c r="A138">
        <v>135</v>
      </c>
      <c r="B138">
        <v>0.38</v>
      </c>
      <c r="C138">
        <v>27.8</v>
      </c>
      <c r="D138">
        <v>8.59</v>
      </c>
      <c r="E138">
        <v>0.35</v>
      </c>
      <c r="F138">
        <f t="shared" si="3"/>
        <v>62.88</v>
      </c>
      <c r="G138">
        <v>567.70000000000005</v>
      </c>
      <c r="H138">
        <v>39.799999999999997</v>
      </c>
      <c r="I138">
        <v>50.8</v>
      </c>
      <c r="J138" s="14" t="s">
        <v>188</v>
      </c>
      <c r="K138" t="s">
        <v>189</v>
      </c>
    </row>
    <row r="139" spans="1:11">
      <c r="A139">
        <v>136</v>
      </c>
      <c r="B139">
        <v>1.01</v>
      </c>
      <c r="C139">
        <v>27.95</v>
      </c>
      <c r="D139">
        <v>8.65</v>
      </c>
      <c r="E139">
        <v>0.54</v>
      </c>
      <c r="F139">
        <f t="shared" si="3"/>
        <v>61.849999999999994</v>
      </c>
      <c r="G139">
        <v>822</v>
      </c>
      <c r="H139">
        <v>59.8</v>
      </c>
      <c r="I139">
        <v>70</v>
      </c>
    </row>
    <row r="140" spans="1:11">
      <c r="A140">
        <v>137</v>
      </c>
      <c r="B140">
        <v>0.6</v>
      </c>
      <c r="C140">
        <v>20.149999999999999</v>
      </c>
      <c r="D140">
        <v>9.2200000000000006</v>
      </c>
      <c r="E140">
        <v>0</v>
      </c>
      <c r="F140">
        <f t="shared" si="3"/>
        <v>70.03</v>
      </c>
      <c r="G140">
        <v>875</v>
      </c>
      <c r="H140">
        <v>31</v>
      </c>
      <c r="I140">
        <v>42</v>
      </c>
      <c r="J140" s="14" t="s">
        <v>190</v>
      </c>
      <c r="K140" t="s">
        <v>136</v>
      </c>
    </row>
    <row r="141" spans="1:11">
      <c r="A141">
        <v>138</v>
      </c>
      <c r="G141">
        <v>830</v>
      </c>
      <c r="H141">
        <v>36</v>
      </c>
      <c r="I141">
        <v>44</v>
      </c>
    </row>
    <row r="142" spans="1:11">
      <c r="A142">
        <v>139</v>
      </c>
      <c r="G142">
        <v>806</v>
      </c>
      <c r="H142">
        <v>39</v>
      </c>
      <c r="I142">
        <v>46</v>
      </c>
    </row>
    <row r="143" spans="1:11">
      <c r="A143">
        <v>140</v>
      </c>
      <c r="G143">
        <v>787</v>
      </c>
      <c r="H143">
        <v>40</v>
      </c>
      <c r="I143">
        <v>47</v>
      </c>
    </row>
    <row r="144" spans="1:11">
      <c r="A144">
        <v>141</v>
      </c>
      <c r="B144">
        <v>0.81</v>
      </c>
      <c r="C144">
        <v>26.8</v>
      </c>
      <c r="D144">
        <v>12.32</v>
      </c>
      <c r="E144">
        <v>0</v>
      </c>
      <c r="F144">
        <f t="shared" ref="F144:F146" si="4">100-B144-C144-D144-E144</f>
        <v>60.07</v>
      </c>
      <c r="G144">
        <v>955</v>
      </c>
      <c r="H144">
        <v>38</v>
      </c>
      <c r="I144">
        <v>42</v>
      </c>
      <c r="J144" s="14" t="s">
        <v>191</v>
      </c>
      <c r="K144" t="s">
        <v>192</v>
      </c>
    </row>
    <row r="145" spans="1:11">
      <c r="A145">
        <v>142</v>
      </c>
      <c r="B145">
        <v>0.95</v>
      </c>
      <c r="C145">
        <v>27.02</v>
      </c>
      <c r="D145">
        <v>11.5</v>
      </c>
      <c r="E145">
        <v>0.59</v>
      </c>
      <c r="F145">
        <f t="shared" si="4"/>
        <v>59.94</v>
      </c>
      <c r="G145">
        <v>925.9</v>
      </c>
      <c r="H145">
        <v>41.9</v>
      </c>
      <c r="I145">
        <v>50.2</v>
      </c>
      <c r="J145" s="14" t="s">
        <v>193</v>
      </c>
      <c r="K145" t="s">
        <v>194</v>
      </c>
    </row>
    <row r="146" spans="1:11">
      <c r="A146">
        <v>143</v>
      </c>
      <c r="B146">
        <v>1.1100000000000001</v>
      </c>
      <c r="C146">
        <v>29.8</v>
      </c>
      <c r="D146">
        <v>7.65</v>
      </c>
      <c r="E146">
        <v>0.09</v>
      </c>
      <c r="F146">
        <f t="shared" si="4"/>
        <v>61.35</v>
      </c>
      <c r="G146">
        <v>746</v>
      </c>
      <c r="H146">
        <v>58</v>
      </c>
      <c r="I146">
        <v>59.6</v>
      </c>
      <c r="J146" s="14" t="s">
        <v>314</v>
      </c>
    </row>
    <row r="147" spans="1:11">
      <c r="A147">
        <v>144</v>
      </c>
      <c r="G147">
        <v>923</v>
      </c>
      <c r="H147">
        <v>43.8</v>
      </c>
      <c r="I147">
        <v>46.6</v>
      </c>
    </row>
    <row r="148" spans="1:11">
      <c r="A148">
        <v>145</v>
      </c>
      <c r="G148">
        <v>974</v>
      </c>
      <c r="H148">
        <v>31</v>
      </c>
      <c r="I148">
        <v>32.6</v>
      </c>
    </row>
    <row r="149" spans="1:11">
      <c r="A149">
        <v>146</v>
      </c>
      <c r="G149">
        <v>960</v>
      </c>
      <c r="H149">
        <v>28</v>
      </c>
      <c r="I149">
        <v>28.9</v>
      </c>
    </row>
    <row r="150" spans="1:11">
      <c r="A150">
        <v>147</v>
      </c>
      <c r="B150">
        <v>0.06</v>
      </c>
      <c r="C150">
        <v>29.2</v>
      </c>
      <c r="D150">
        <v>5.2</v>
      </c>
      <c r="E150">
        <v>0.6</v>
      </c>
      <c r="F150">
        <f t="shared" ref="F150" si="5">100-B150-C150-D150-E150</f>
        <v>64.94</v>
      </c>
      <c r="G150">
        <v>464</v>
      </c>
      <c r="H150">
        <v>43.5</v>
      </c>
      <c r="I150">
        <v>51.2</v>
      </c>
      <c r="J150" s="14" t="s">
        <v>259</v>
      </c>
      <c r="K150" t="s">
        <v>260</v>
      </c>
    </row>
    <row r="151" spans="1:11">
      <c r="A151">
        <v>148</v>
      </c>
      <c r="G151">
        <v>483</v>
      </c>
      <c r="H151">
        <v>43</v>
      </c>
      <c r="I151">
        <v>51.4</v>
      </c>
    </row>
    <row r="152" spans="1:11">
      <c r="A152">
        <v>149</v>
      </c>
      <c r="G152">
        <v>497</v>
      </c>
      <c r="H152">
        <v>42.1</v>
      </c>
      <c r="I152">
        <v>51</v>
      </c>
    </row>
    <row r="153" spans="1:11">
      <c r="A153">
        <v>150</v>
      </c>
      <c r="B153">
        <v>1.1200000000000001</v>
      </c>
      <c r="C153">
        <v>29.6</v>
      </c>
      <c r="D153">
        <v>10.46</v>
      </c>
      <c r="E153">
        <v>0</v>
      </c>
      <c r="F153">
        <f>100-B153-C153-D153-E153</f>
        <v>58.82</v>
      </c>
      <c r="G153">
        <v>855</v>
      </c>
      <c r="H153">
        <v>51.4</v>
      </c>
      <c r="I153">
        <v>57.9</v>
      </c>
      <c r="J153" s="14" t="s">
        <v>317</v>
      </c>
      <c r="K153" t="s">
        <v>318</v>
      </c>
    </row>
    <row r="154" spans="1:11">
      <c r="A154">
        <v>151</v>
      </c>
      <c r="B154">
        <v>0.3</v>
      </c>
      <c r="C154">
        <v>3.5</v>
      </c>
      <c r="D154">
        <v>6</v>
      </c>
      <c r="E154">
        <v>0</v>
      </c>
      <c r="F154">
        <f>100-B154-C154-D154-E154</f>
        <v>90.2</v>
      </c>
      <c r="G154">
        <v>816.4</v>
      </c>
      <c r="H154">
        <v>36.1</v>
      </c>
      <c r="I154">
        <v>39.799999999999997</v>
      </c>
      <c r="J154" s="14" t="s">
        <v>319</v>
      </c>
      <c r="K154" t="s">
        <v>320</v>
      </c>
    </row>
  </sheetData>
  <phoneticPr fontId="7" type="noConversion"/>
  <pageMargins left="0.7" right="0.7" top="0.75" bottom="0.75" header="0.3" footer="0.3"/>
  <pageSetup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8"/>
  <sheetViews>
    <sheetView zoomScale="85" zoomScaleNormal="85" workbookViewId="0">
      <selection activeCell="F21" sqref="F21"/>
    </sheetView>
  </sheetViews>
  <sheetFormatPr baseColWidth="10" defaultColWidth="8.83203125" defaultRowHeight="15"/>
  <cols>
    <col min="1" max="1" width="8.33203125" customWidth="1"/>
    <col min="7" max="7" width="10.5" customWidth="1"/>
    <col min="8" max="8" width="23" bestFit="1" customWidth="1"/>
    <col min="9" max="9" width="19" customWidth="1"/>
    <col min="10" max="10" width="26.83203125" customWidth="1"/>
    <col min="11" max="11" width="133.6640625" bestFit="1" customWidth="1"/>
  </cols>
  <sheetData>
    <row r="1" spans="1:11" s="2" customFormat="1">
      <c r="A1" s="2" t="s">
        <v>147</v>
      </c>
      <c r="G1" s="3"/>
      <c r="H1" s="4"/>
      <c r="I1" s="4"/>
      <c r="K1" s="5"/>
    </row>
    <row r="2" spans="1:11" s="2" customFormat="1">
      <c r="A2" s="2" t="s">
        <v>6</v>
      </c>
      <c r="C2" s="2" t="s">
        <v>2</v>
      </c>
      <c r="G2" s="3"/>
      <c r="H2" s="4" t="s">
        <v>9</v>
      </c>
      <c r="I2" s="4"/>
      <c r="J2" s="2" t="s">
        <v>13</v>
      </c>
      <c r="K2" s="5" t="s">
        <v>10</v>
      </c>
    </row>
    <row r="3" spans="1:11" s="6" customFormat="1">
      <c r="B3" s="6" t="s">
        <v>0</v>
      </c>
      <c r="C3" s="6" t="s">
        <v>1</v>
      </c>
      <c r="D3" s="6" t="s">
        <v>3</v>
      </c>
      <c r="E3" s="6" t="s">
        <v>4</v>
      </c>
      <c r="F3" s="6" t="s">
        <v>5</v>
      </c>
      <c r="G3" s="7" t="s">
        <v>16</v>
      </c>
      <c r="H3" s="8" t="s">
        <v>7</v>
      </c>
      <c r="I3" s="8" t="s">
        <v>8</v>
      </c>
      <c r="K3" s="9"/>
    </row>
    <row r="4" spans="1:11">
      <c r="A4">
        <v>1</v>
      </c>
      <c r="B4">
        <v>0.4</v>
      </c>
      <c r="C4">
        <v>12</v>
      </c>
      <c r="D4">
        <v>0</v>
      </c>
      <c r="E4">
        <v>0</v>
      </c>
      <c r="F4">
        <f t="shared" ref="F4:F19" si="0">100-B4-C4-D4-E4</f>
        <v>87.6</v>
      </c>
      <c r="G4">
        <v>1137</v>
      </c>
      <c r="H4">
        <v>34.6</v>
      </c>
      <c r="I4">
        <v>34.6</v>
      </c>
      <c r="J4" t="s">
        <v>195</v>
      </c>
      <c r="K4" t="s">
        <v>196</v>
      </c>
    </row>
    <row r="5" spans="1:11">
      <c r="A5">
        <v>2</v>
      </c>
      <c r="B5">
        <v>2E-3</v>
      </c>
      <c r="C5">
        <v>31.1</v>
      </c>
      <c r="D5">
        <v>0</v>
      </c>
      <c r="E5">
        <v>0</v>
      </c>
      <c r="F5">
        <f t="shared" si="0"/>
        <v>68.897999999999996</v>
      </c>
      <c r="G5">
        <v>532</v>
      </c>
      <c r="H5">
        <v>52.3</v>
      </c>
      <c r="I5">
        <v>60</v>
      </c>
      <c r="J5" t="s">
        <v>148</v>
      </c>
      <c r="K5" t="s">
        <v>197</v>
      </c>
    </row>
    <row r="6" spans="1:11">
      <c r="A6">
        <v>3</v>
      </c>
      <c r="B6">
        <v>0.27</v>
      </c>
      <c r="C6">
        <v>28.5</v>
      </c>
      <c r="D6">
        <v>0</v>
      </c>
      <c r="E6">
        <v>0</v>
      </c>
      <c r="F6">
        <f t="shared" si="0"/>
        <v>71.23</v>
      </c>
      <c r="G6">
        <v>797</v>
      </c>
      <c r="H6">
        <v>59.3</v>
      </c>
      <c r="I6">
        <v>67</v>
      </c>
    </row>
    <row r="7" spans="1:11">
      <c r="A7">
        <v>4</v>
      </c>
      <c r="B7">
        <v>0.62</v>
      </c>
      <c r="C7">
        <v>24.5</v>
      </c>
      <c r="D7">
        <v>0</v>
      </c>
      <c r="E7">
        <v>0</v>
      </c>
      <c r="F7">
        <f t="shared" si="0"/>
        <v>74.88</v>
      </c>
      <c r="G7">
        <v>1000</v>
      </c>
      <c r="H7">
        <v>76.099999999999994</v>
      </c>
      <c r="I7">
        <v>79</v>
      </c>
    </row>
    <row r="8" spans="1:11">
      <c r="A8">
        <v>5</v>
      </c>
      <c r="B8">
        <v>0.6</v>
      </c>
      <c r="C8">
        <v>22</v>
      </c>
      <c r="D8">
        <v>0</v>
      </c>
      <c r="E8">
        <v>0</v>
      </c>
      <c r="F8">
        <f t="shared" si="0"/>
        <v>77.400000000000006</v>
      </c>
      <c r="G8">
        <v>1074</v>
      </c>
      <c r="H8">
        <v>69.099999999999994</v>
      </c>
      <c r="I8">
        <v>72</v>
      </c>
      <c r="J8" t="s">
        <v>198</v>
      </c>
      <c r="K8" t="s">
        <v>199</v>
      </c>
    </row>
    <row r="9" spans="1:11">
      <c r="A9">
        <v>6</v>
      </c>
      <c r="B9">
        <v>0.6</v>
      </c>
      <c r="C9">
        <v>18</v>
      </c>
      <c r="D9">
        <v>1.2</v>
      </c>
      <c r="E9">
        <v>0</v>
      </c>
      <c r="F9">
        <f t="shared" si="0"/>
        <v>80.2</v>
      </c>
      <c r="G9">
        <v>995</v>
      </c>
      <c r="H9">
        <v>58.5</v>
      </c>
      <c r="I9">
        <v>61</v>
      </c>
    </row>
    <row r="10" spans="1:11">
      <c r="A10">
        <v>7</v>
      </c>
      <c r="B10">
        <v>0.75</v>
      </c>
      <c r="C10">
        <v>17.59</v>
      </c>
      <c r="D10">
        <v>1.7</v>
      </c>
      <c r="E10">
        <v>0.52</v>
      </c>
      <c r="F10">
        <f t="shared" si="0"/>
        <v>79.44</v>
      </c>
      <c r="G10">
        <v>1581</v>
      </c>
      <c r="H10">
        <v>14.8</v>
      </c>
      <c r="I10">
        <v>25.8</v>
      </c>
      <c r="J10" t="s">
        <v>28</v>
      </c>
      <c r="K10" t="s">
        <v>200</v>
      </c>
    </row>
    <row r="11" spans="1:11">
      <c r="A11">
        <v>8</v>
      </c>
      <c r="B11">
        <v>0.02</v>
      </c>
      <c r="C11">
        <v>15.8</v>
      </c>
      <c r="D11">
        <v>2.9</v>
      </c>
      <c r="E11">
        <v>3</v>
      </c>
      <c r="F11">
        <f t="shared" si="0"/>
        <v>78.28</v>
      </c>
      <c r="G11">
        <v>930.4</v>
      </c>
      <c r="H11">
        <v>37.799999999999997</v>
      </c>
      <c r="I11">
        <v>45.6</v>
      </c>
      <c r="J11" t="s">
        <v>201</v>
      </c>
      <c r="K11" t="s">
        <v>202</v>
      </c>
    </row>
    <row r="12" spans="1:11">
      <c r="A12">
        <v>9</v>
      </c>
      <c r="B12">
        <v>0.04</v>
      </c>
      <c r="C12">
        <v>20.100000000000001</v>
      </c>
      <c r="D12">
        <v>2.9</v>
      </c>
      <c r="E12">
        <v>2.8</v>
      </c>
      <c r="F12">
        <f t="shared" si="0"/>
        <v>74.159999999999982</v>
      </c>
      <c r="G12">
        <v>840.5</v>
      </c>
      <c r="H12">
        <v>70.599999999999994</v>
      </c>
      <c r="I12">
        <v>80.400000000000006</v>
      </c>
    </row>
    <row r="13" spans="1:11">
      <c r="A13">
        <v>10</v>
      </c>
      <c r="B13">
        <v>0.03</v>
      </c>
      <c r="C13">
        <v>25.6</v>
      </c>
      <c r="D13">
        <v>2.8</v>
      </c>
      <c r="E13">
        <v>3</v>
      </c>
      <c r="F13">
        <f t="shared" si="0"/>
        <v>68.570000000000007</v>
      </c>
      <c r="G13">
        <v>639.5</v>
      </c>
      <c r="H13">
        <v>79.7</v>
      </c>
      <c r="I13">
        <v>94.5</v>
      </c>
    </row>
    <row r="14" spans="1:11">
      <c r="A14">
        <v>11</v>
      </c>
      <c r="B14">
        <v>5.0000000000000001E-3</v>
      </c>
      <c r="C14">
        <v>14.8</v>
      </c>
      <c r="D14">
        <v>0</v>
      </c>
      <c r="E14">
        <v>0.02</v>
      </c>
      <c r="F14">
        <f t="shared" si="0"/>
        <v>85.175000000000011</v>
      </c>
      <c r="G14">
        <v>772</v>
      </c>
      <c r="H14">
        <v>37.200000000000003</v>
      </c>
      <c r="I14">
        <v>40</v>
      </c>
      <c r="J14" t="s">
        <v>203</v>
      </c>
      <c r="K14" t="s">
        <v>204</v>
      </c>
    </row>
    <row r="15" spans="1:11">
      <c r="A15">
        <v>12</v>
      </c>
      <c r="B15">
        <v>0.05</v>
      </c>
      <c r="C15">
        <v>14.91</v>
      </c>
      <c r="D15">
        <v>0</v>
      </c>
      <c r="E15">
        <v>0</v>
      </c>
      <c r="F15">
        <f t="shared" si="0"/>
        <v>85.04</v>
      </c>
      <c r="G15">
        <v>885.2</v>
      </c>
      <c r="H15">
        <v>18.2</v>
      </c>
      <c r="I15">
        <v>18.3</v>
      </c>
      <c r="J15" t="s">
        <v>168</v>
      </c>
      <c r="K15" t="s">
        <v>169</v>
      </c>
    </row>
    <row r="16" spans="1:11">
      <c r="A16">
        <v>13</v>
      </c>
      <c r="B16">
        <v>0.05</v>
      </c>
      <c r="C16">
        <v>16.86</v>
      </c>
      <c r="D16">
        <v>0</v>
      </c>
      <c r="E16">
        <v>0</v>
      </c>
      <c r="F16">
        <f t="shared" si="0"/>
        <v>83.09</v>
      </c>
      <c r="G16">
        <v>773.4</v>
      </c>
      <c r="H16">
        <v>28.2</v>
      </c>
      <c r="I16">
        <v>29.7</v>
      </c>
    </row>
    <row r="17" spans="1:11">
      <c r="A17">
        <v>14</v>
      </c>
      <c r="B17">
        <v>0.05</v>
      </c>
      <c r="C17">
        <v>18.66</v>
      </c>
      <c r="D17">
        <v>0</v>
      </c>
      <c r="E17">
        <v>0</v>
      </c>
      <c r="F17">
        <f t="shared" si="0"/>
        <v>81.290000000000006</v>
      </c>
      <c r="G17">
        <v>697.9</v>
      </c>
      <c r="H17">
        <v>20.100000000000001</v>
      </c>
      <c r="I17">
        <v>20.6</v>
      </c>
    </row>
    <row r="18" spans="1:11">
      <c r="A18">
        <v>15</v>
      </c>
      <c r="B18">
        <v>0.59</v>
      </c>
      <c r="C18">
        <v>17.7</v>
      </c>
      <c r="D18">
        <v>0</v>
      </c>
      <c r="E18">
        <v>1.59</v>
      </c>
      <c r="F18">
        <f t="shared" si="0"/>
        <v>80.11999999999999</v>
      </c>
      <c r="G18">
        <v>1249</v>
      </c>
      <c r="H18">
        <v>58</v>
      </c>
      <c r="I18">
        <v>58.3</v>
      </c>
    </row>
    <row r="19" spans="1:11">
      <c r="A19">
        <v>16</v>
      </c>
      <c r="B19">
        <v>4.0000000000000001E-3</v>
      </c>
      <c r="C19">
        <v>29.99</v>
      </c>
      <c r="D19">
        <v>1.98</v>
      </c>
      <c r="E19">
        <v>4.0599999999999996</v>
      </c>
      <c r="F19">
        <f t="shared" si="0"/>
        <v>63.965999999999994</v>
      </c>
      <c r="G19">
        <v>650</v>
      </c>
      <c r="H19">
        <v>70</v>
      </c>
      <c r="I19">
        <v>76</v>
      </c>
      <c r="J19" t="s">
        <v>205</v>
      </c>
      <c r="K19" t="s">
        <v>206</v>
      </c>
    </row>
    <row r="20" spans="1:11">
      <c r="A20">
        <v>17</v>
      </c>
      <c r="G20">
        <v>748</v>
      </c>
      <c r="H20">
        <v>47</v>
      </c>
      <c r="I20">
        <v>60</v>
      </c>
    </row>
    <row r="21" spans="1:11">
      <c r="A21">
        <v>18</v>
      </c>
      <c r="G21">
        <v>834</v>
      </c>
      <c r="H21">
        <v>31</v>
      </c>
      <c r="I21">
        <v>44</v>
      </c>
    </row>
    <row r="22" spans="1:11">
      <c r="A22">
        <v>19</v>
      </c>
      <c r="G22">
        <v>1049</v>
      </c>
      <c r="H22">
        <v>6</v>
      </c>
      <c r="I22">
        <v>20</v>
      </c>
    </row>
    <row r="23" spans="1:11">
      <c r="A23">
        <v>20</v>
      </c>
      <c r="B23">
        <v>0.56000000000000005</v>
      </c>
      <c r="C23">
        <v>21.68</v>
      </c>
      <c r="D23">
        <v>0</v>
      </c>
      <c r="E23">
        <v>0.06</v>
      </c>
      <c r="F23">
        <f>100-B23-C23-D23-E23</f>
        <v>77.699999999999989</v>
      </c>
      <c r="G23">
        <v>2122.6</v>
      </c>
      <c r="H23">
        <v>2.7</v>
      </c>
      <c r="I23">
        <v>4.7</v>
      </c>
      <c r="J23" t="s">
        <v>207</v>
      </c>
      <c r="K23" t="s">
        <v>208</v>
      </c>
    </row>
    <row r="24" spans="1:11">
      <c r="A24">
        <v>21</v>
      </c>
      <c r="G24">
        <v>1432.1</v>
      </c>
      <c r="H24">
        <v>27.3</v>
      </c>
      <c r="I24">
        <v>35.299999999999997</v>
      </c>
    </row>
    <row r="25" spans="1:11">
      <c r="A25">
        <v>22</v>
      </c>
      <c r="G25">
        <v>1293.7</v>
      </c>
      <c r="H25">
        <v>43.6</v>
      </c>
      <c r="I25">
        <v>49.1</v>
      </c>
    </row>
    <row r="26" spans="1:11">
      <c r="A26">
        <v>23</v>
      </c>
      <c r="G26">
        <v>1250.2</v>
      </c>
      <c r="H26">
        <v>47.2</v>
      </c>
      <c r="I26">
        <v>53.7</v>
      </c>
    </row>
    <row r="27" spans="1:11">
      <c r="A27">
        <v>24</v>
      </c>
      <c r="G27">
        <v>909.7</v>
      </c>
      <c r="H27">
        <v>77.8</v>
      </c>
      <c r="I27">
        <v>80.3</v>
      </c>
    </row>
    <row r="28" spans="1:11">
      <c r="A28">
        <v>25</v>
      </c>
      <c r="B28">
        <v>0.38</v>
      </c>
      <c r="C28">
        <v>26.5</v>
      </c>
      <c r="D28">
        <v>3.6</v>
      </c>
      <c r="E28">
        <v>2.2000000000000002</v>
      </c>
      <c r="F28">
        <f>100-B28-C28-D28-E28</f>
        <v>67.320000000000007</v>
      </c>
      <c r="G28">
        <v>827</v>
      </c>
      <c r="H28">
        <v>48</v>
      </c>
      <c r="I28">
        <v>53</v>
      </c>
      <c r="J28" t="s">
        <v>209</v>
      </c>
      <c r="K28" t="s">
        <v>210</v>
      </c>
    </row>
    <row r="29" spans="1:11">
      <c r="A29">
        <v>26</v>
      </c>
      <c r="G29">
        <v>838</v>
      </c>
      <c r="H29">
        <v>50</v>
      </c>
      <c r="I29">
        <v>55</v>
      </c>
    </row>
    <row r="30" spans="1:11">
      <c r="A30">
        <v>27</v>
      </c>
      <c r="G30">
        <v>769</v>
      </c>
      <c r="H30">
        <v>63</v>
      </c>
      <c r="I30">
        <v>66</v>
      </c>
    </row>
    <row r="31" spans="1:11">
      <c r="A31">
        <v>28</v>
      </c>
      <c r="G31">
        <v>733</v>
      </c>
      <c r="H31">
        <v>50</v>
      </c>
      <c r="I31">
        <v>52</v>
      </c>
    </row>
    <row r="32" spans="1:11">
      <c r="A32">
        <v>29</v>
      </c>
      <c r="G32">
        <v>751</v>
      </c>
      <c r="H32">
        <v>53</v>
      </c>
      <c r="I32">
        <v>56</v>
      </c>
    </row>
    <row r="33" spans="1:11">
      <c r="A33">
        <v>30</v>
      </c>
      <c r="G33">
        <v>731</v>
      </c>
      <c r="H33">
        <v>71</v>
      </c>
      <c r="I33">
        <v>76</v>
      </c>
    </row>
    <row r="34" spans="1:11">
      <c r="A34">
        <v>31</v>
      </c>
      <c r="B34">
        <v>0.36</v>
      </c>
      <c r="C34">
        <v>30</v>
      </c>
      <c r="D34">
        <v>3.1</v>
      </c>
      <c r="E34">
        <v>1.9</v>
      </c>
      <c r="F34">
        <f>100-B34-C34-D34-E34</f>
        <v>64.64</v>
      </c>
      <c r="G34">
        <v>754</v>
      </c>
      <c r="H34">
        <v>58</v>
      </c>
      <c r="I34">
        <v>62</v>
      </c>
    </row>
    <row r="35" spans="1:11">
      <c r="A35">
        <v>32</v>
      </c>
      <c r="G35">
        <v>813</v>
      </c>
      <c r="H35">
        <v>41</v>
      </c>
      <c r="I35">
        <v>44</v>
      </c>
    </row>
    <row r="36" spans="1:11">
      <c r="A36">
        <v>33</v>
      </c>
      <c r="G36">
        <v>772</v>
      </c>
      <c r="H36">
        <v>50</v>
      </c>
      <c r="I36">
        <v>54</v>
      </c>
    </row>
    <row r="37" spans="1:11">
      <c r="A37">
        <v>34</v>
      </c>
      <c r="G37">
        <v>718</v>
      </c>
      <c r="H37">
        <v>61</v>
      </c>
      <c r="I37">
        <v>63</v>
      </c>
    </row>
    <row r="38" spans="1:11">
      <c r="A38">
        <v>35</v>
      </c>
      <c r="G38">
        <v>765</v>
      </c>
      <c r="H38">
        <v>48</v>
      </c>
      <c r="I38">
        <v>50</v>
      </c>
    </row>
    <row r="39" spans="1:11">
      <c r="A39">
        <v>36</v>
      </c>
      <c r="G39">
        <v>757</v>
      </c>
      <c r="H39">
        <v>56</v>
      </c>
      <c r="I39">
        <v>61</v>
      </c>
    </row>
    <row r="40" spans="1:11">
      <c r="A40">
        <v>37</v>
      </c>
      <c r="G40">
        <v>738</v>
      </c>
      <c r="H40">
        <v>65</v>
      </c>
      <c r="I40">
        <v>66</v>
      </c>
    </row>
    <row r="41" spans="1:11">
      <c r="A41">
        <v>38</v>
      </c>
      <c r="B41">
        <v>0.61</v>
      </c>
      <c r="C41">
        <v>22.2</v>
      </c>
      <c r="D41">
        <v>0</v>
      </c>
      <c r="E41">
        <v>0.18</v>
      </c>
      <c r="F41">
        <f>100-B41-C41-D41-E41</f>
        <v>77.009999999999991</v>
      </c>
      <c r="G41">
        <v>961.7</v>
      </c>
      <c r="H41">
        <v>65.900000000000006</v>
      </c>
      <c r="I41">
        <v>69.3</v>
      </c>
      <c r="J41" t="s">
        <v>211</v>
      </c>
      <c r="K41" t="s">
        <v>212</v>
      </c>
    </row>
    <row r="42" spans="1:11">
      <c r="A42">
        <v>39</v>
      </c>
      <c r="B42">
        <v>0.75</v>
      </c>
      <c r="C42">
        <v>18</v>
      </c>
      <c r="D42">
        <v>1.7</v>
      </c>
      <c r="E42">
        <v>0.5</v>
      </c>
      <c r="F42">
        <f>100-B42-C42-D42-E42</f>
        <v>79.05</v>
      </c>
      <c r="G42">
        <v>903.2</v>
      </c>
      <c r="H42">
        <v>65.2</v>
      </c>
      <c r="I42">
        <v>69</v>
      </c>
    </row>
    <row r="43" spans="1:11">
      <c r="A43">
        <v>40</v>
      </c>
      <c r="G43">
        <v>1088.9000000000001</v>
      </c>
      <c r="H43">
        <v>53.1</v>
      </c>
      <c r="I43">
        <v>61.8</v>
      </c>
    </row>
    <row r="44" spans="1:11">
      <c r="A44">
        <v>41</v>
      </c>
      <c r="B44">
        <v>0.75</v>
      </c>
      <c r="C44">
        <v>18</v>
      </c>
      <c r="D44">
        <v>1.7</v>
      </c>
      <c r="E44">
        <v>0.5</v>
      </c>
      <c r="F44">
        <f>100-B44-C44-D44-E44</f>
        <v>79.05</v>
      </c>
      <c r="G44">
        <v>1023.7</v>
      </c>
      <c r="H44">
        <v>54.2</v>
      </c>
      <c r="I44">
        <v>59.8</v>
      </c>
      <c r="J44" t="s">
        <v>227</v>
      </c>
      <c r="K44" t="s">
        <v>228</v>
      </c>
    </row>
    <row r="45" spans="1:11">
      <c r="A45">
        <v>42</v>
      </c>
      <c r="G45">
        <v>1089.4000000000001</v>
      </c>
      <c r="H45">
        <v>43.9</v>
      </c>
      <c r="I45">
        <v>55.1</v>
      </c>
    </row>
    <row r="46" spans="1:11">
      <c r="A46">
        <v>43</v>
      </c>
      <c r="G46">
        <v>1271.4000000000001</v>
      </c>
      <c r="H46">
        <v>28.9</v>
      </c>
      <c r="I46">
        <v>38.9</v>
      </c>
    </row>
    <row r="47" spans="1:11">
      <c r="A47">
        <v>44</v>
      </c>
      <c r="G47">
        <v>1354.8</v>
      </c>
      <c r="H47">
        <v>19.399999999999999</v>
      </c>
      <c r="I47">
        <v>28.2</v>
      </c>
    </row>
    <row r="48" spans="1:11">
      <c r="A48">
        <v>45</v>
      </c>
      <c r="G48">
        <v>1519.1</v>
      </c>
      <c r="H48">
        <v>9</v>
      </c>
      <c r="I48">
        <v>15.9</v>
      </c>
    </row>
    <row r="49" spans="1:11">
      <c r="A49">
        <v>46</v>
      </c>
      <c r="B49">
        <v>0.62</v>
      </c>
      <c r="C49">
        <v>17.649999999999999</v>
      </c>
      <c r="D49">
        <v>0.02</v>
      </c>
      <c r="E49">
        <v>0</v>
      </c>
      <c r="F49">
        <f>100-B49-C49-D49-E49</f>
        <v>81.709999999999994</v>
      </c>
      <c r="G49">
        <v>880</v>
      </c>
      <c r="H49">
        <v>51</v>
      </c>
      <c r="I49">
        <v>52.6</v>
      </c>
      <c r="J49" t="s">
        <v>213</v>
      </c>
      <c r="K49" t="s">
        <v>214</v>
      </c>
    </row>
    <row r="50" spans="1:11">
      <c r="A50">
        <v>47</v>
      </c>
      <c r="B50">
        <v>0.61</v>
      </c>
      <c r="C50">
        <v>19.010000000000002</v>
      </c>
      <c r="D50">
        <v>0.96</v>
      </c>
      <c r="E50">
        <v>0</v>
      </c>
      <c r="F50">
        <f>100-B50-C50-D50-E50</f>
        <v>79.42</v>
      </c>
      <c r="G50">
        <v>890</v>
      </c>
      <c r="H50">
        <v>54.9</v>
      </c>
      <c r="I50">
        <v>55.3</v>
      </c>
    </row>
    <row r="51" spans="1:11">
      <c r="A51">
        <v>48</v>
      </c>
      <c r="B51">
        <v>0.57999999999999996</v>
      </c>
      <c r="C51">
        <v>19.07</v>
      </c>
      <c r="D51">
        <v>2.02</v>
      </c>
      <c r="E51">
        <v>0</v>
      </c>
      <c r="F51">
        <f>100-B51-C51-D51-E51</f>
        <v>78.33</v>
      </c>
      <c r="G51">
        <v>860</v>
      </c>
      <c r="H51">
        <v>59.4</v>
      </c>
      <c r="I51">
        <v>66.599999999999994</v>
      </c>
    </row>
    <row r="52" spans="1:11">
      <c r="A52">
        <v>49</v>
      </c>
      <c r="B52">
        <v>0.6</v>
      </c>
      <c r="C52">
        <v>18</v>
      </c>
      <c r="D52">
        <v>1.5</v>
      </c>
      <c r="E52">
        <v>0</v>
      </c>
      <c r="F52">
        <f>100-B52-C52-D52-E52</f>
        <v>79.900000000000006</v>
      </c>
      <c r="G52">
        <v>1649.2</v>
      </c>
      <c r="H52">
        <v>3.4</v>
      </c>
      <c r="I52">
        <v>4.8</v>
      </c>
      <c r="J52" t="s">
        <v>216</v>
      </c>
      <c r="K52" t="s">
        <v>215</v>
      </c>
    </row>
    <row r="53" spans="1:11">
      <c r="A53">
        <v>50</v>
      </c>
      <c r="G53">
        <v>1344.7</v>
      </c>
      <c r="H53">
        <v>7.4</v>
      </c>
      <c r="I53">
        <v>9.4</v>
      </c>
    </row>
    <row r="54" spans="1:11">
      <c r="A54">
        <v>51</v>
      </c>
      <c r="G54">
        <v>1191</v>
      </c>
      <c r="H54">
        <v>12.8</v>
      </c>
      <c r="I54">
        <v>15.5</v>
      </c>
    </row>
    <row r="55" spans="1:11">
      <c r="A55">
        <v>52</v>
      </c>
      <c r="G55">
        <v>1067.3</v>
      </c>
      <c r="H55">
        <v>21.3</v>
      </c>
      <c r="I55">
        <v>23.8</v>
      </c>
    </row>
    <row r="56" spans="1:11">
      <c r="A56">
        <v>53</v>
      </c>
      <c r="G56">
        <v>889.4</v>
      </c>
      <c r="H56">
        <v>32.200000000000003</v>
      </c>
      <c r="I56">
        <v>33.799999999999997</v>
      </c>
    </row>
    <row r="57" spans="1:11">
      <c r="A57">
        <v>54</v>
      </c>
      <c r="G57">
        <v>835.2</v>
      </c>
      <c r="H57">
        <v>40.799999999999997</v>
      </c>
      <c r="I57">
        <v>42.7</v>
      </c>
    </row>
    <row r="58" spans="1:11">
      <c r="A58">
        <v>55</v>
      </c>
      <c r="G58">
        <v>868.3</v>
      </c>
      <c r="H58">
        <v>39.299999999999997</v>
      </c>
      <c r="I58">
        <v>42.7</v>
      </c>
    </row>
    <row r="59" spans="1:11">
      <c r="A59">
        <v>56</v>
      </c>
      <c r="G59">
        <v>859.3</v>
      </c>
      <c r="H59">
        <v>49.3</v>
      </c>
      <c r="I59">
        <v>54.5</v>
      </c>
    </row>
    <row r="60" spans="1:11">
      <c r="A60">
        <v>57</v>
      </c>
      <c r="G60">
        <v>723.6</v>
      </c>
      <c r="H60">
        <v>52.2</v>
      </c>
      <c r="I60">
        <v>58.3</v>
      </c>
    </row>
    <row r="61" spans="1:11">
      <c r="A61">
        <v>58</v>
      </c>
      <c r="G61">
        <v>687.4</v>
      </c>
      <c r="H61">
        <v>59.9</v>
      </c>
      <c r="I61">
        <v>65</v>
      </c>
    </row>
    <row r="62" spans="1:11">
      <c r="A62">
        <v>59</v>
      </c>
      <c r="G62">
        <v>663.3</v>
      </c>
      <c r="H62">
        <v>59.3</v>
      </c>
      <c r="I62">
        <v>62</v>
      </c>
    </row>
    <row r="63" spans="1:11">
      <c r="A63">
        <v>60</v>
      </c>
      <c r="B63">
        <v>0.62</v>
      </c>
      <c r="C63">
        <v>17.649999999999999</v>
      </c>
      <c r="D63">
        <v>0.02</v>
      </c>
      <c r="E63">
        <v>0</v>
      </c>
      <c r="F63">
        <f t="shared" ref="F63:F69" si="1">100-B63-C63-D63-E63</f>
        <v>81.709999999999994</v>
      </c>
      <c r="G63">
        <v>954.9</v>
      </c>
      <c r="H63">
        <v>70.3</v>
      </c>
      <c r="I63">
        <v>70.3</v>
      </c>
      <c r="J63" t="s">
        <v>217</v>
      </c>
      <c r="K63" t="s">
        <v>218</v>
      </c>
    </row>
    <row r="64" spans="1:11">
      <c r="A64">
        <v>61</v>
      </c>
      <c r="B64">
        <v>0.56000000000000005</v>
      </c>
      <c r="C64">
        <v>19.010000000000002</v>
      </c>
      <c r="D64">
        <v>0.96</v>
      </c>
      <c r="E64">
        <v>0</v>
      </c>
      <c r="F64">
        <f t="shared" si="1"/>
        <v>79.47</v>
      </c>
      <c r="G64">
        <v>931</v>
      </c>
      <c r="H64">
        <v>62.8</v>
      </c>
      <c r="I64">
        <v>62.8</v>
      </c>
    </row>
    <row r="65" spans="1:11">
      <c r="A65">
        <v>62</v>
      </c>
      <c r="B65">
        <v>0.57999999999999996</v>
      </c>
      <c r="C65">
        <v>17.48</v>
      </c>
      <c r="D65">
        <v>1.42</v>
      </c>
      <c r="E65">
        <v>0</v>
      </c>
      <c r="F65">
        <f t="shared" si="1"/>
        <v>80.52</v>
      </c>
      <c r="G65">
        <v>844</v>
      </c>
      <c r="H65">
        <v>80.400000000000006</v>
      </c>
      <c r="I65">
        <v>80.400000000000006</v>
      </c>
    </row>
    <row r="66" spans="1:11">
      <c r="A66">
        <v>63</v>
      </c>
      <c r="B66">
        <v>0.6</v>
      </c>
      <c r="C66">
        <v>18</v>
      </c>
      <c r="D66">
        <v>0</v>
      </c>
      <c r="E66">
        <v>0</v>
      </c>
      <c r="F66">
        <f t="shared" si="1"/>
        <v>81.400000000000006</v>
      </c>
      <c r="G66">
        <v>1124</v>
      </c>
      <c r="H66">
        <v>59.4</v>
      </c>
      <c r="I66">
        <v>71</v>
      </c>
      <c r="J66" t="s">
        <v>219</v>
      </c>
      <c r="K66" t="s">
        <v>220</v>
      </c>
    </row>
    <row r="67" spans="1:11">
      <c r="A67">
        <v>64</v>
      </c>
      <c r="B67">
        <v>0.6</v>
      </c>
      <c r="C67">
        <v>18</v>
      </c>
      <c r="D67">
        <v>1.5</v>
      </c>
      <c r="E67">
        <v>0</v>
      </c>
      <c r="F67">
        <f t="shared" si="1"/>
        <v>79.900000000000006</v>
      </c>
      <c r="G67">
        <v>966</v>
      </c>
      <c r="H67">
        <v>57.3</v>
      </c>
      <c r="I67">
        <v>64</v>
      </c>
    </row>
    <row r="68" spans="1:11">
      <c r="A68">
        <v>65</v>
      </c>
      <c r="B68">
        <v>0.6</v>
      </c>
      <c r="C68">
        <v>18</v>
      </c>
      <c r="D68">
        <v>2.5</v>
      </c>
      <c r="E68">
        <v>0</v>
      </c>
      <c r="F68">
        <f t="shared" si="1"/>
        <v>78.900000000000006</v>
      </c>
      <c r="G68">
        <v>890</v>
      </c>
      <c r="H68">
        <v>56.2</v>
      </c>
      <c r="I68">
        <v>62</v>
      </c>
    </row>
    <row r="69" spans="1:11">
      <c r="A69">
        <v>66</v>
      </c>
      <c r="B69">
        <v>0</v>
      </c>
      <c r="C69">
        <v>31</v>
      </c>
      <c r="D69">
        <v>3</v>
      </c>
      <c r="E69">
        <v>3</v>
      </c>
      <c r="F69">
        <f t="shared" si="1"/>
        <v>63</v>
      </c>
      <c r="G69">
        <v>825</v>
      </c>
      <c r="H69">
        <v>39.799999999999997</v>
      </c>
      <c r="I69">
        <v>47.2</v>
      </c>
    </row>
    <row r="70" spans="1:11">
      <c r="A70">
        <v>67</v>
      </c>
      <c r="G70">
        <v>724</v>
      </c>
      <c r="H70">
        <v>56.5</v>
      </c>
      <c r="I70">
        <v>68.400000000000006</v>
      </c>
    </row>
    <row r="71" spans="1:11">
      <c r="A71">
        <v>68</v>
      </c>
      <c r="G71">
        <v>648</v>
      </c>
      <c r="H71">
        <v>63.1</v>
      </c>
      <c r="I71">
        <v>75.900000000000006</v>
      </c>
    </row>
    <row r="72" spans="1:11">
      <c r="A72">
        <v>69</v>
      </c>
      <c r="G72">
        <v>575</v>
      </c>
      <c r="H72">
        <v>70</v>
      </c>
      <c r="I72">
        <v>82.4</v>
      </c>
    </row>
    <row r="73" spans="1:11">
      <c r="A73">
        <v>70</v>
      </c>
      <c r="G73">
        <v>519</v>
      </c>
      <c r="H73">
        <v>76.3</v>
      </c>
      <c r="I73">
        <v>85</v>
      </c>
    </row>
    <row r="74" spans="1:11">
      <c r="A74">
        <v>71</v>
      </c>
      <c r="B74">
        <v>0</v>
      </c>
      <c r="C74">
        <v>31</v>
      </c>
      <c r="D74">
        <v>3</v>
      </c>
      <c r="E74">
        <v>3</v>
      </c>
      <c r="F74">
        <f>100-B74-C74-D74-E74</f>
        <v>63</v>
      </c>
      <c r="G74">
        <v>776.5</v>
      </c>
      <c r="H74">
        <v>45.8</v>
      </c>
      <c r="I74">
        <v>52.3</v>
      </c>
      <c r="J74" t="s">
        <v>222</v>
      </c>
      <c r="K74" t="s">
        <v>221</v>
      </c>
    </row>
    <row r="75" spans="1:11">
      <c r="A75">
        <v>72</v>
      </c>
      <c r="G75">
        <v>689.3</v>
      </c>
      <c r="H75">
        <v>63.7</v>
      </c>
      <c r="I75">
        <v>73.900000000000006</v>
      </c>
    </row>
    <row r="76" spans="1:11">
      <c r="A76">
        <v>73</v>
      </c>
      <c r="G76">
        <v>595.4</v>
      </c>
      <c r="H76">
        <v>81.599999999999994</v>
      </c>
      <c r="I76">
        <v>89.9</v>
      </c>
    </row>
    <row r="77" spans="1:11">
      <c r="A77">
        <v>74</v>
      </c>
      <c r="B77">
        <v>0.7</v>
      </c>
      <c r="C77">
        <v>15</v>
      </c>
      <c r="D77">
        <v>2</v>
      </c>
      <c r="E77">
        <v>2</v>
      </c>
      <c r="F77">
        <f>100-B77-C77-D77-E77</f>
        <v>80.3</v>
      </c>
      <c r="G77">
        <v>1146</v>
      </c>
      <c r="H77">
        <v>53.2</v>
      </c>
      <c r="I77">
        <v>54.8</v>
      </c>
      <c r="J77" t="s">
        <v>223</v>
      </c>
      <c r="K77" t="s">
        <v>224</v>
      </c>
    </row>
    <row r="78" spans="1:11">
      <c r="A78">
        <v>75</v>
      </c>
      <c r="G78">
        <v>1101.2</v>
      </c>
      <c r="H78">
        <v>50.7</v>
      </c>
      <c r="I78">
        <v>52.2</v>
      </c>
    </row>
    <row r="79" spans="1:11">
      <c r="A79">
        <v>76</v>
      </c>
      <c r="G79">
        <v>955.5</v>
      </c>
      <c r="H79">
        <v>62.4</v>
      </c>
      <c r="I79">
        <v>63.7</v>
      </c>
    </row>
    <row r="80" spans="1:11">
      <c r="A80">
        <v>77</v>
      </c>
      <c r="G80">
        <v>834</v>
      </c>
      <c r="H80">
        <v>61.9</v>
      </c>
      <c r="I80">
        <v>62.7</v>
      </c>
    </row>
    <row r="81" spans="1:11">
      <c r="A81">
        <v>78</v>
      </c>
      <c r="G81">
        <v>773.4</v>
      </c>
      <c r="H81">
        <v>63.7</v>
      </c>
      <c r="I81">
        <v>64.900000000000006</v>
      </c>
    </row>
    <row r="82" spans="1:11">
      <c r="A82">
        <v>79</v>
      </c>
      <c r="B82">
        <v>0.62</v>
      </c>
      <c r="C82">
        <v>17.649999999999999</v>
      </c>
      <c r="D82">
        <v>0.01</v>
      </c>
      <c r="E82">
        <v>0.01</v>
      </c>
      <c r="F82">
        <f t="shared" ref="F82:F122" si="2">100-B82-C82-D82-E82</f>
        <v>81.70999999999998</v>
      </c>
      <c r="G82">
        <v>1118</v>
      </c>
      <c r="H82">
        <v>71</v>
      </c>
      <c r="I82">
        <v>72.7</v>
      </c>
      <c r="J82" t="s">
        <v>225</v>
      </c>
      <c r="K82" t="s">
        <v>226</v>
      </c>
    </row>
    <row r="83" spans="1:11">
      <c r="A83">
        <v>80</v>
      </c>
      <c r="B83">
        <v>0.57999999999999996</v>
      </c>
      <c r="C83">
        <v>17.510000000000002</v>
      </c>
      <c r="D83">
        <v>1.54</v>
      </c>
      <c r="E83">
        <v>0.05</v>
      </c>
      <c r="F83">
        <f t="shared" si="2"/>
        <v>80.319999999999993</v>
      </c>
      <c r="G83">
        <v>925.8</v>
      </c>
      <c r="H83">
        <v>64.3</v>
      </c>
      <c r="I83">
        <v>64.599999999999994</v>
      </c>
    </row>
    <row r="84" spans="1:11">
      <c r="A84">
        <v>81</v>
      </c>
      <c r="B84">
        <v>0.59</v>
      </c>
      <c r="C84">
        <v>17.7</v>
      </c>
      <c r="D84">
        <v>0.03</v>
      </c>
      <c r="E84">
        <v>1.59</v>
      </c>
      <c r="F84">
        <f t="shared" si="2"/>
        <v>80.089999999999989</v>
      </c>
      <c r="G84">
        <v>1164</v>
      </c>
      <c r="H84">
        <v>64.599999999999994</v>
      </c>
      <c r="I84">
        <v>65.7</v>
      </c>
    </row>
    <row r="85" spans="1:11">
      <c r="A85">
        <v>82</v>
      </c>
      <c r="B85">
        <v>0.31</v>
      </c>
      <c r="C85">
        <v>22.28</v>
      </c>
      <c r="D85">
        <v>0</v>
      </c>
      <c r="E85">
        <v>0.12</v>
      </c>
      <c r="F85">
        <f t="shared" si="2"/>
        <v>77.289999999999992</v>
      </c>
      <c r="G85">
        <v>820.8</v>
      </c>
      <c r="H85">
        <v>45.4</v>
      </c>
      <c r="I85">
        <v>49.25</v>
      </c>
      <c r="J85" t="s">
        <v>229</v>
      </c>
    </row>
    <row r="86" spans="1:11">
      <c r="A86">
        <v>83</v>
      </c>
      <c r="B86">
        <v>0.53</v>
      </c>
      <c r="C86">
        <v>17.88</v>
      </c>
      <c r="D86">
        <v>0</v>
      </c>
      <c r="E86">
        <v>0.08</v>
      </c>
      <c r="F86">
        <f t="shared" si="2"/>
        <v>81.510000000000005</v>
      </c>
      <c r="G86">
        <v>982.3</v>
      </c>
      <c r="H86">
        <v>55.9</v>
      </c>
      <c r="I86">
        <v>57.1</v>
      </c>
    </row>
    <row r="87" spans="1:11">
      <c r="A87">
        <v>84</v>
      </c>
      <c r="B87">
        <v>0.32</v>
      </c>
      <c r="C87">
        <v>16.8</v>
      </c>
      <c r="D87">
        <v>1.47</v>
      </c>
      <c r="E87">
        <v>0.03</v>
      </c>
      <c r="F87">
        <f t="shared" si="2"/>
        <v>81.38000000000001</v>
      </c>
      <c r="G87">
        <v>702</v>
      </c>
      <c r="H87">
        <v>55</v>
      </c>
      <c r="I87">
        <v>60</v>
      </c>
    </row>
    <row r="88" spans="1:11">
      <c r="A88">
        <v>85</v>
      </c>
      <c r="B88">
        <v>0.51</v>
      </c>
      <c r="C88">
        <v>15.45</v>
      </c>
      <c r="D88">
        <v>1.3</v>
      </c>
      <c r="E88">
        <v>0.03</v>
      </c>
      <c r="F88">
        <f t="shared" si="2"/>
        <v>82.71</v>
      </c>
      <c r="G88">
        <v>593</v>
      </c>
      <c r="H88">
        <v>58</v>
      </c>
      <c r="I88">
        <v>65</v>
      </c>
    </row>
    <row r="89" spans="1:11">
      <c r="A89">
        <v>86</v>
      </c>
      <c r="B89">
        <v>0.47</v>
      </c>
      <c r="C89">
        <v>22.38</v>
      </c>
      <c r="D89">
        <v>0</v>
      </c>
      <c r="E89">
        <v>0.17</v>
      </c>
      <c r="F89">
        <f t="shared" si="2"/>
        <v>76.98</v>
      </c>
      <c r="G89">
        <v>938.2</v>
      </c>
      <c r="H89">
        <v>51.2</v>
      </c>
      <c r="I89">
        <v>56.2</v>
      </c>
    </row>
    <row r="90" spans="1:11">
      <c r="A90">
        <v>87</v>
      </c>
      <c r="B90">
        <v>0.32</v>
      </c>
      <c r="C90">
        <v>21.75</v>
      </c>
      <c r="D90">
        <v>1.26</v>
      </c>
      <c r="E90">
        <v>0.04</v>
      </c>
      <c r="F90">
        <f t="shared" si="2"/>
        <v>76.63</v>
      </c>
      <c r="G90">
        <v>738</v>
      </c>
      <c r="H90">
        <v>57</v>
      </c>
      <c r="I90">
        <v>65</v>
      </c>
    </row>
    <row r="91" spans="1:11">
      <c r="A91">
        <v>88</v>
      </c>
      <c r="B91">
        <v>0.4</v>
      </c>
      <c r="C91">
        <v>21.83</v>
      </c>
      <c r="D91">
        <v>1.5</v>
      </c>
      <c r="E91">
        <v>0.16</v>
      </c>
      <c r="F91">
        <f t="shared" si="2"/>
        <v>76.11</v>
      </c>
      <c r="G91">
        <v>591</v>
      </c>
      <c r="H91">
        <v>41.5</v>
      </c>
      <c r="I91">
        <v>53.7</v>
      </c>
    </row>
    <row r="92" spans="1:11">
      <c r="A92">
        <v>89</v>
      </c>
      <c r="B92">
        <v>0.53</v>
      </c>
      <c r="C92">
        <v>15.44</v>
      </c>
      <c r="D92">
        <v>1.9</v>
      </c>
      <c r="E92">
        <v>0.11</v>
      </c>
      <c r="F92">
        <f t="shared" si="2"/>
        <v>82.02</v>
      </c>
      <c r="G92">
        <v>962</v>
      </c>
      <c r="H92">
        <v>49.7</v>
      </c>
      <c r="I92">
        <v>55.4</v>
      </c>
    </row>
    <row r="93" spans="1:11">
      <c r="A93">
        <v>90</v>
      </c>
      <c r="B93">
        <v>0.6</v>
      </c>
      <c r="C93">
        <v>16.850000000000001</v>
      </c>
      <c r="D93">
        <v>1.1399999999999999</v>
      </c>
      <c r="E93">
        <v>0.06</v>
      </c>
      <c r="F93">
        <f t="shared" si="2"/>
        <v>81.350000000000009</v>
      </c>
      <c r="G93">
        <v>979</v>
      </c>
      <c r="H93">
        <v>56.9</v>
      </c>
      <c r="I93">
        <v>65.5</v>
      </c>
    </row>
    <row r="94" spans="1:11">
      <c r="A94">
        <v>91</v>
      </c>
      <c r="B94">
        <v>0.68</v>
      </c>
      <c r="C94">
        <v>18.84</v>
      </c>
      <c r="D94">
        <v>1.49</v>
      </c>
      <c r="E94">
        <v>0.05</v>
      </c>
      <c r="F94">
        <f t="shared" si="2"/>
        <v>78.94</v>
      </c>
      <c r="G94">
        <v>830</v>
      </c>
      <c r="H94">
        <v>68.5</v>
      </c>
      <c r="I94">
        <v>71</v>
      </c>
    </row>
    <row r="95" spans="1:11">
      <c r="A95">
        <v>92</v>
      </c>
      <c r="B95">
        <v>0.71</v>
      </c>
      <c r="C95">
        <v>23.5</v>
      </c>
      <c r="D95">
        <v>0.01</v>
      </c>
      <c r="E95">
        <v>0.06</v>
      </c>
      <c r="F95">
        <f t="shared" si="2"/>
        <v>75.72</v>
      </c>
      <c r="G95">
        <v>953.5</v>
      </c>
      <c r="H95">
        <v>63.4</v>
      </c>
      <c r="I95">
        <v>65.13</v>
      </c>
    </row>
    <row r="96" spans="1:11">
      <c r="A96">
        <v>93</v>
      </c>
      <c r="B96">
        <v>0</v>
      </c>
      <c r="C96">
        <v>30</v>
      </c>
      <c r="D96">
        <v>0</v>
      </c>
      <c r="E96">
        <v>0</v>
      </c>
      <c r="F96">
        <f t="shared" si="2"/>
        <v>70</v>
      </c>
      <c r="G96">
        <v>487.09770776761553</v>
      </c>
      <c r="H96">
        <v>45.063298129315889</v>
      </c>
      <c r="J96" t="s">
        <v>230</v>
      </c>
      <c r="K96" t="s">
        <v>231</v>
      </c>
    </row>
    <row r="97" spans="1:11">
      <c r="A97">
        <v>94</v>
      </c>
      <c r="B97">
        <v>0.5</v>
      </c>
      <c r="C97">
        <v>30</v>
      </c>
      <c r="D97">
        <v>0</v>
      </c>
      <c r="E97">
        <v>0</v>
      </c>
      <c r="F97">
        <f t="shared" si="2"/>
        <v>69.5</v>
      </c>
      <c r="G97">
        <v>754.24926991547648</v>
      </c>
      <c r="H97">
        <v>55.426070234230586</v>
      </c>
    </row>
    <row r="98" spans="1:11">
      <c r="A98">
        <v>95</v>
      </c>
      <c r="B98">
        <v>0.6</v>
      </c>
      <c r="C98">
        <v>22</v>
      </c>
      <c r="D98">
        <v>0</v>
      </c>
      <c r="E98">
        <v>0</v>
      </c>
      <c r="F98">
        <f t="shared" si="2"/>
        <v>77.400000000000006</v>
      </c>
      <c r="G98">
        <v>821.378862522026</v>
      </c>
      <c r="H98">
        <v>54.496305895133837</v>
      </c>
    </row>
    <row r="99" spans="1:11">
      <c r="A99">
        <v>96</v>
      </c>
      <c r="B99">
        <v>1</v>
      </c>
      <c r="C99">
        <v>30</v>
      </c>
      <c r="D99">
        <v>0</v>
      </c>
      <c r="E99">
        <v>0</v>
      </c>
      <c r="F99">
        <f t="shared" si="2"/>
        <v>69</v>
      </c>
      <c r="G99">
        <v>886.61543769551417</v>
      </c>
      <c r="H99">
        <v>56.674465719945147</v>
      </c>
    </row>
    <row r="100" spans="1:11">
      <c r="A100">
        <v>97</v>
      </c>
      <c r="B100">
        <v>1.2</v>
      </c>
      <c r="C100">
        <v>22</v>
      </c>
      <c r="D100">
        <v>0</v>
      </c>
      <c r="E100">
        <v>0</v>
      </c>
      <c r="F100">
        <f t="shared" si="2"/>
        <v>76.8</v>
      </c>
      <c r="G100">
        <v>1069.2069887274117</v>
      </c>
      <c r="H100">
        <v>56.517869565352164</v>
      </c>
    </row>
    <row r="101" spans="1:11">
      <c r="A101">
        <v>98</v>
      </c>
      <c r="B101">
        <v>1.2</v>
      </c>
      <c r="C101">
        <v>12</v>
      </c>
      <c r="D101">
        <v>0</v>
      </c>
      <c r="E101">
        <v>0</v>
      </c>
      <c r="F101">
        <f t="shared" si="2"/>
        <v>86.8</v>
      </c>
      <c r="G101">
        <v>1112.2691644311631</v>
      </c>
      <c r="H101">
        <v>56.517869565352164</v>
      </c>
    </row>
    <row r="102" spans="1:11">
      <c r="A102">
        <v>99</v>
      </c>
      <c r="B102">
        <v>0.95</v>
      </c>
      <c r="C102">
        <v>17</v>
      </c>
      <c r="D102">
        <v>0</v>
      </c>
      <c r="E102">
        <v>0</v>
      </c>
      <c r="F102">
        <f t="shared" si="2"/>
        <v>82.05</v>
      </c>
      <c r="G102">
        <v>1121.5556584783451</v>
      </c>
      <c r="H102">
        <v>54.187622070063249</v>
      </c>
    </row>
    <row r="103" spans="1:11">
      <c r="A103">
        <v>100</v>
      </c>
      <c r="B103">
        <v>0.59</v>
      </c>
      <c r="C103">
        <v>16.420000000000002</v>
      </c>
      <c r="D103">
        <v>0</v>
      </c>
      <c r="E103">
        <v>3</v>
      </c>
      <c r="F103">
        <f t="shared" si="2"/>
        <v>79.989999999999995</v>
      </c>
      <c r="G103">
        <v>963</v>
      </c>
      <c r="H103">
        <v>40.6</v>
      </c>
      <c r="I103">
        <v>40.6</v>
      </c>
      <c r="J103" t="s">
        <v>232</v>
      </c>
      <c r="K103" t="s">
        <v>233</v>
      </c>
    </row>
    <row r="104" spans="1:11">
      <c r="A104">
        <v>101</v>
      </c>
      <c r="B104">
        <v>0.96</v>
      </c>
      <c r="C104">
        <v>13.08</v>
      </c>
      <c r="D104">
        <v>0</v>
      </c>
      <c r="E104">
        <v>1.23</v>
      </c>
      <c r="F104">
        <f t="shared" si="2"/>
        <v>84.73</v>
      </c>
      <c r="G104">
        <v>904</v>
      </c>
      <c r="H104">
        <v>40.9</v>
      </c>
      <c r="I104">
        <v>40.9</v>
      </c>
    </row>
    <row r="105" spans="1:11">
      <c r="A105">
        <v>102</v>
      </c>
      <c r="B105">
        <v>0.02</v>
      </c>
      <c r="C105">
        <v>16.2</v>
      </c>
      <c r="D105">
        <v>1.8</v>
      </c>
      <c r="E105">
        <v>4</v>
      </c>
      <c r="F105">
        <f t="shared" si="2"/>
        <v>77.98</v>
      </c>
      <c r="G105">
        <v>1090.3</v>
      </c>
      <c r="H105">
        <v>28.4</v>
      </c>
      <c r="I105">
        <v>38.799999999999997</v>
      </c>
    </row>
    <row r="106" spans="1:11">
      <c r="A106">
        <v>103</v>
      </c>
      <c r="B106">
        <v>0.02</v>
      </c>
      <c r="C106">
        <v>17.899999999999999</v>
      </c>
      <c r="D106">
        <v>2.9</v>
      </c>
      <c r="E106">
        <v>3.2</v>
      </c>
      <c r="F106">
        <f t="shared" si="2"/>
        <v>75.98</v>
      </c>
      <c r="G106">
        <v>937.9</v>
      </c>
      <c r="H106">
        <v>38.299999999999997</v>
      </c>
      <c r="I106">
        <v>46</v>
      </c>
      <c r="J106" t="s">
        <v>234</v>
      </c>
      <c r="K106" t="s">
        <v>235</v>
      </c>
    </row>
    <row r="107" spans="1:11">
      <c r="A107">
        <v>104</v>
      </c>
      <c r="B107">
        <v>0.01</v>
      </c>
      <c r="C107">
        <v>15.9</v>
      </c>
      <c r="D107">
        <v>3.5</v>
      </c>
      <c r="E107">
        <v>1.9</v>
      </c>
      <c r="F107">
        <f t="shared" si="2"/>
        <v>78.689999999999984</v>
      </c>
      <c r="G107">
        <v>767.2</v>
      </c>
      <c r="H107">
        <v>37.4</v>
      </c>
      <c r="I107">
        <v>47</v>
      </c>
    </row>
    <row r="108" spans="1:11">
      <c r="A108">
        <v>105</v>
      </c>
      <c r="B108">
        <v>0.06</v>
      </c>
      <c r="C108">
        <v>18.2</v>
      </c>
      <c r="D108">
        <v>1.8</v>
      </c>
      <c r="E108">
        <v>4.3</v>
      </c>
      <c r="F108">
        <f t="shared" si="2"/>
        <v>75.64</v>
      </c>
      <c r="G108">
        <v>899.5</v>
      </c>
      <c r="H108">
        <v>54.2</v>
      </c>
      <c r="I108">
        <v>61.1</v>
      </c>
    </row>
    <row r="109" spans="1:11">
      <c r="A109">
        <v>106</v>
      </c>
      <c r="B109">
        <v>0.04</v>
      </c>
      <c r="C109">
        <v>20.100000000000001</v>
      </c>
      <c r="D109">
        <v>2.9</v>
      </c>
      <c r="E109">
        <v>2.8</v>
      </c>
      <c r="F109">
        <f t="shared" si="2"/>
        <v>74.159999999999982</v>
      </c>
      <c r="G109">
        <v>840</v>
      </c>
      <c r="H109">
        <v>71.3</v>
      </c>
      <c r="I109">
        <v>81.2</v>
      </c>
    </row>
    <row r="110" spans="1:11">
      <c r="A110">
        <v>107</v>
      </c>
      <c r="B110">
        <v>0.03</v>
      </c>
      <c r="C110">
        <v>18.100000000000001</v>
      </c>
      <c r="D110">
        <v>3.5</v>
      </c>
      <c r="E110">
        <v>1.8</v>
      </c>
      <c r="F110">
        <f t="shared" si="2"/>
        <v>76.570000000000007</v>
      </c>
      <c r="G110">
        <v>739.4</v>
      </c>
      <c r="H110">
        <v>50.2</v>
      </c>
      <c r="I110">
        <v>59.9</v>
      </c>
    </row>
    <row r="111" spans="1:11">
      <c r="A111">
        <v>108</v>
      </c>
      <c r="B111">
        <v>0.03</v>
      </c>
      <c r="C111">
        <v>25.5</v>
      </c>
      <c r="D111">
        <v>1.8</v>
      </c>
      <c r="E111">
        <v>3.9</v>
      </c>
      <c r="F111">
        <f t="shared" si="2"/>
        <v>68.77</v>
      </c>
      <c r="G111">
        <v>728.6</v>
      </c>
      <c r="H111">
        <v>58.2</v>
      </c>
      <c r="I111">
        <v>68.900000000000006</v>
      </c>
    </row>
    <row r="112" spans="1:11">
      <c r="A112">
        <v>109</v>
      </c>
      <c r="B112">
        <v>0.03</v>
      </c>
      <c r="C112">
        <v>26.5</v>
      </c>
      <c r="D112">
        <v>2.8</v>
      </c>
      <c r="E112">
        <v>3</v>
      </c>
      <c r="F112">
        <f t="shared" si="2"/>
        <v>67.67</v>
      </c>
      <c r="G112">
        <v>649.29999999999995</v>
      </c>
      <c r="H112">
        <v>80.2</v>
      </c>
      <c r="I112">
        <v>94</v>
      </c>
    </row>
    <row r="113" spans="1:11">
      <c r="A113">
        <v>110</v>
      </c>
      <c r="B113">
        <v>0.03</v>
      </c>
      <c r="C113">
        <v>25.6</v>
      </c>
      <c r="D113">
        <v>3.8</v>
      </c>
      <c r="E113">
        <v>2</v>
      </c>
      <c r="F113">
        <f t="shared" si="2"/>
        <v>68.570000000000007</v>
      </c>
      <c r="G113">
        <v>568.5</v>
      </c>
      <c r="H113">
        <v>72.2</v>
      </c>
      <c r="I113">
        <v>88.1</v>
      </c>
    </row>
    <row r="114" spans="1:11">
      <c r="A114">
        <v>111</v>
      </c>
      <c r="B114">
        <v>0.02</v>
      </c>
      <c r="C114">
        <v>28.7</v>
      </c>
      <c r="D114">
        <v>2</v>
      </c>
      <c r="E114">
        <v>4</v>
      </c>
      <c r="F114">
        <f t="shared" si="2"/>
        <v>65.28</v>
      </c>
      <c r="G114">
        <v>735.8</v>
      </c>
      <c r="H114">
        <v>63.1</v>
      </c>
      <c r="I114">
        <v>74.900000000000006</v>
      </c>
    </row>
    <row r="115" spans="1:11">
      <c r="A115">
        <v>112</v>
      </c>
      <c r="B115">
        <v>0.02</v>
      </c>
      <c r="C115">
        <v>29.2</v>
      </c>
      <c r="D115">
        <v>2.8</v>
      </c>
      <c r="E115">
        <v>3</v>
      </c>
      <c r="F115">
        <f t="shared" si="2"/>
        <v>64.98</v>
      </c>
      <c r="G115">
        <v>609.29999999999995</v>
      </c>
      <c r="H115">
        <v>75.2</v>
      </c>
      <c r="I115">
        <v>88</v>
      </c>
    </row>
    <row r="116" spans="1:11">
      <c r="A116">
        <v>113</v>
      </c>
      <c r="B116">
        <v>0.01</v>
      </c>
      <c r="C116">
        <v>30.6</v>
      </c>
      <c r="D116">
        <v>3.9</v>
      </c>
      <c r="E116">
        <v>2</v>
      </c>
      <c r="F116">
        <f t="shared" si="2"/>
        <v>63.489999999999981</v>
      </c>
      <c r="G116">
        <v>534.6</v>
      </c>
      <c r="H116">
        <v>65.2</v>
      </c>
      <c r="I116">
        <v>83.9</v>
      </c>
    </row>
    <row r="117" spans="1:11">
      <c r="A117">
        <v>114</v>
      </c>
      <c r="B117">
        <v>0.06</v>
      </c>
      <c r="C117">
        <v>22</v>
      </c>
      <c r="D117">
        <v>0</v>
      </c>
      <c r="E117">
        <v>0</v>
      </c>
      <c r="F117">
        <f t="shared" si="2"/>
        <v>77.94</v>
      </c>
      <c r="G117">
        <v>660.69873722631621</v>
      </c>
      <c r="H117">
        <v>19.721736312181015</v>
      </c>
    </row>
    <row r="118" spans="1:11">
      <c r="A118">
        <v>115</v>
      </c>
      <c r="B118">
        <v>0.19</v>
      </c>
      <c r="C118">
        <v>22</v>
      </c>
      <c r="D118">
        <v>0</v>
      </c>
      <c r="E118">
        <v>0</v>
      </c>
      <c r="F118">
        <f t="shared" si="2"/>
        <v>77.81</v>
      </c>
      <c r="G118">
        <v>696.97864974496008</v>
      </c>
      <c r="H118">
        <v>43.332941456034014</v>
      </c>
      <c r="J118" t="s">
        <v>257</v>
      </c>
      <c r="K118" t="s">
        <v>258</v>
      </c>
    </row>
    <row r="119" spans="1:11">
      <c r="A119">
        <v>116</v>
      </c>
      <c r="B119">
        <v>0.42</v>
      </c>
      <c r="C119">
        <v>22</v>
      </c>
      <c r="D119">
        <v>0</v>
      </c>
      <c r="E119">
        <v>0</v>
      </c>
      <c r="F119">
        <f t="shared" si="2"/>
        <v>77.58</v>
      </c>
      <c r="G119">
        <v>725.90958907160723</v>
      </c>
      <c r="H119">
        <v>68.202764969888648</v>
      </c>
    </row>
    <row r="120" spans="1:11">
      <c r="A120">
        <v>117</v>
      </c>
      <c r="B120">
        <v>0.56999999999999995</v>
      </c>
      <c r="C120">
        <v>22</v>
      </c>
      <c r="D120">
        <v>0</v>
      </c>
      <c r="E120">
        <v>0</v>
      </c>
      <c r="F120">
        <f t="shared" si="2"/>
        <v>77.430000000000007</v>
      </c>
      <c r="G120">
        <v>775.90090189576506</v>
      </c>
      <c r="H120">
        <v>76.826705143373502</v>
      </c>
    </row>
    <row r="121" spans="1:11">
      <c r="A121">
        <v>118</v>
      </c>
      <c r="B121">
        <v>1.7999999999999999E-2</v>
      </c>
      <c r="C121">
        <v>17</v>
      </c>
      <c r="D121">
        <v>0</v>
      </c>
      <c r="E121">
        <v>0</v>
      </c>
      <c r="F121">
        <f t="shared" si="2"/>
        <v>82.981999999999999</v>
      </c>
      <c r="G121">
        <v>696.4</v>
      </c>
      <c r="H121">
        <v>24.9</v>
      </c>
      <c r="I121">
        <v>26.3</v>
      </c>
    </row>
    <row r="122" spans="1:11">
      <c r="A122">
        <v>119</v>
      </c>
      <c r="B122">
        <v>0.59</v>
      </c>
      <c r="C122">
        <v>21.95</v>
      </c>
      <c r="D122">
        <v>0.01</v>
      </c>
      <c r="E122">
        <v>3.04</v>
      </c>
      <c r="F122">
        <f t="shared" si="2"/>
        <v>74.409999999999982</v>
      </c>
      <c r="G122">
        <v>803</v>
      </c>
      <c r="H122">
        <v>36.799999999999997</v>
      </c>
      <c r="I122">
        <v>39.4</v>
      </c>
      <c r="J122" t="s">
        <v>306</v>
      </c>
      <c r="K122" t="s">
        <v>307</v>
      </c>
    </row>
    <row r="123" spans="1:11">
      <c r="A123">
        <v>120</v>
      </c>
      <c r="G123">
        <v>1191</v>
      </c>
      <c r="H123">
        <v>46.7</v>
      </c>
      <c r="I123">
        <v>52.8</v>
      </c>
      <c r="J123" t="s">
        <v>308</v>
      </c>
      <c r="K123" t="s">
        <v>309</v>
      </c>
    </row>
    <row r="124" spans="1:11">
      <c r="A124">
        <v>121</v>
      </c>
      <c r="G124">
        <v>1351</v>
      </c>
      <c r="H124">
        <v>4.5999999999999996</v>
      </c>
      <c r="I124">
        <v>10</v>
      </c>
    </row>
    <row r="125" spans="1:11">
      <c r="A125">
        <v>122</v>
      </c>
      <c r="B125">
        <v>0</v>
      </c>
      <c r="C125">
        <v>25.6</v>
      </c>
      <c r="D125">
        <v>0</v>
      </c>
      <c r="E125">
        <v>0</v>
      </c>
      <c r="F125">
        <f t="shared" ref="F125:F133" si="3">100-B125-C125-D125-E125</f>
        <v>74.400000000000006</v>
      </c>
      <c r="G125">
        <v>830.4</v>
      </c>
      <c r="H125">
        <v>35.4</v>
      </c>
    </row>
    <row r="126" spans="1:11">
      <c r="A126">
        <v>123</v>
      </c>
      <c r="B126">
        <v>0</v>
      </c>
      <c r="C126">
        <v>25.5</v>
      </c>
      <c r="D126">
        <v>0.19</v>
      </c>
      <c r="E126">
        <v>0</v>
      </c>
      <c r="F126">
        <f t="shared" si="3"/>
        <v>74.31</v>
      </c>
      <c r="G126">
        <v>793</v>
      </c>
      <c r="H126">
        <v>37.799999999999997</v>
      </c>
      <c r="J126" t="s">
        <v>140</v>
      </c>
      <c r="K126" t="s">
        <v>141</v>
      </c>
    </row>
    <row r="127" spans="1:11">
      <c r="A127">
        <v>124</v>
      </c>
      <c r="B127">
        <v>0</v>
      </c>
      <c r="C127">
        <v>26.1</v>
      </c>
      <c r="D127">
        <v>0.7</v>
      </c>
      <c r="E127">
        <v>0</v>
      </c>
      <c r="F127">
        <f t="shared" si="3"/>
        <v>73.2</v>
      </c>
      <c r="G127">
        <v>594.70000000000005</v>
      </c>
      <c r="H127">
        <v>47.3</v>
      </c>
    </row>
    <row r="128" spans="1:11">
      <c r="A128">
        <v>125</v>
      </c>
      <c r="B128">
        <v>0</v>
      </c>
      <c r="C128">
        <v>26.2</v>
      </c>
      <c r="D128">
        <v>3.6</v>
      </c>
      <c r="E128">
        <v>0</v>
      </c>
      <c r="F128">
        <f t="shared" si="3"/>
        <v>70.2</v>
      </c>
      <c r="G128">
        <v>497.8</v>
      </c>
      <c r="H128">
        <v>44.2</v>
      </c>
    </row>
    <row r="129" spans="1:11">
      <c r="A129">
        <v>126</v>
      </c>
      <c r="B129">
        <v>0.11</v>
      </c>
      <c r="C129">
        <v>30.9</v>
      </c>
      <c r="D129">
        <v>1.21</v>
      </c>
      <c r="E129">
        <v>0</v>
      </c>
      <c r="F129">
        <f t="shared" si="3"/>
        <v>67.780000000000015</v>
      </c>
      <c r="G129">
        <v>571.9</v>
      </c>
      <c r="H129">
        <v>45.7</v>
      </c>
    </row>
    <row r="130" spans="1:11">
      <c r="A130">
        <v>127</v>
      </c>
      <c r="B130">
        <v>0.24</v>
      </c>
      <c r="C130">
        <v>31</v>
      </c>
      <c r="D130">
        <v>1.18</v>
      </c>
      <c r="E130">
        <v>0</v>
      </c>
      <c r="F130">
        <f t="shared" si="3"/>
        <v>67.58</v>
      </c>
      <c r="G130">
        <v>629.9</v>
      </c>
      <c r="H130">
        <v>41.3</v>
      </c>
    </row>
    <row r="131" spans="1:11">
      <c r="A131">
        <v>128</v>
      </c>
      <c r="B131">
        <v>0.37</v>
      </c>
      <c r="C131">
        <v>31.4</v>
      </c>
      <c r="D131">
        <v>1.19</v>
      </c>
      <c r="E131">
        <v>0</v>
      </c>
      <c r="F131">
        <f t="shared" si="3"/>
        <v>67.039999999999992</v>
      </c>
      <c r="G131">
        <v>707.7</v>
      </c>
      <c r="H131">
        <v>48</v>
      </c>
    </row>
    <row r="132" spans="1:11">
      <c r="A132">
        <v>129</v>
      </c>
      <c r="B132">
        <v>0.31</v>
      </c>
      <c r="C132">
        <v>31.4</v>
      </c>
      <c r="D132">
        <v>5.09</v>
      </c>
      <c r="E132">
        <v>0</v>
      </c>
      <c r="F132">
        <f t="shared" si="3"/>
        <v>63.199999999999989</v>
      </c>
      <c r="G132">
        <v>738.5</v>
      </c>
      <c r="H132">
        <v>43.7</v>
      </c>
    </row>
    <row r="133" spans="1:11">
      <c r="A133">
        <v>130</v>
      </c>
      <c r="B133">
        <v>0.52</v>
      </c>
      <c r="C133">
        <v>29.8</v>
      </c>
      <c r="D133">
        <v>2.73</v>
      </c>
      <c r="E133">
        <v>2.96</v>
      </c>
      <c r="F133">
        <f t="shared" si="3"/>
        <v>63.99</v>
      </c>
      <c r="G133">
        <v>802</v>
      </c>
      <c r="H133">
        <v>28.9</v>
      </c>
      <c r="I133">
        <v>33</v>
      </c>
    </row>
    <row r="134" spans="1:11">
      <c r="A134">
        <v>131</v>
      </c>
      <c r="G134">
        <v>725</v>
      </c>
      <c r="H134">
        <v>54.5</v>
      </c>
      <c r="I134">
        <v>56</v>
      </c>
      <c r="J134" t="s">
        <v>315</v>
      </c>
      <c r="K134" t="s">
        <v>316</v>
      </c>
    </row>
    <row r="135" spans="1:11">
      <c r="A135">
        <v>132</v>
      </c>
      <c r="B135">
        <v>0.3</v>
      </c>
      <c r="C135">
        <v>25</v>
      </c>
      <c r="D135">
        <v>1</v>
      </c>
      <c r="E135">
        <v>0</v>
      </c>
      <c r="F135">
        <f>100-B135-C135-D135-E135</f>
        <v>73.7</v>
      </c>
      <c r="G135">
        <v>851</v>
      </c>
      <c r="H135">
        <v>39.200000000000003</v>
      </c>
      <c r="I135">
        <v>42.3</v>
      </c>
    </row>
    <row r="136" spans="1:11">
      <c r="A136">
        <v>133</v>
      </c>
      <c r="G136">
        <v>801.2</v>
      </c>
      <c r="H136">
        <v>42.9</v>
      </c>
      <c r="I136">
        <v>44.7</v>
      </c>
      <c r="J136" t="s">
        <v>321</v>
      </c>
      <c r="K136" t="s">
        <v>322</v>
      </c>
    </row>
    <row r="137" spans="1:11">
      <c r="A137">
        <v>134</v>
      </c>
      <c r="G137">
        <v>770.5</v>
      </c>
      <c r="H137">
        <v>48.6</v>
      </c>
      <c r="I137">
        <v>51.4</v>
      </c>
    </row>
    <row r="138" spans="1:11">
      <c r="A138">
        <v>135</v>
      </c>
      <c r="G138">
        <v>687.1</v>
      </c>
      <c r="H138">
        <v>55.7</v>
      </c>
      <c r="I138">
        <v>57.9</v>
      </c>
    </row>
    <row r="139" spans="1:11">
      <c r="A139">
        <v>136</v>
      </c>
      <c r="G139">
        <v>639.6</v>
      </c>
      <c r="H139">
        <v>59.5</v>
      </c>
      <c r="I139">
        <v>60.8</v>
      </c>
    </row>
    <row r="168" spans="11:11">
      <c r="K168" s="10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5"/>
  <sheetViews>
    <sheetView zoomScale="85" zoomScaleNormal="85" workbookViewId="0">
      <selection activeCell="F23" sqref="F23"/>
    </sheetView>
  </sheetViews>
  <sheetFormatPr baseColWidth="10" defaultColWidth="8.83203125" defaultRowHeight="15"/>
  <cols>
    <col min="1" max="1" width="9.33203125" customWidth="1"/>
    <col min="7" max="7" width="10.5" customWidth="1"/>
    <col min="8" max="8" width="23" bestFit="1" customWidth="1"/>
    <col min="9" max="9" width="19" customWidth="1"/>
    <col min="10" max="10" width="26.83203125" customWidth="1"/>
    <col min="11" max="11" width="133.6640625" bestFit="1" customWidth="1"/>
  </cols>
  <sheetData>
    <row r="1" spans="1:11" s="2" customFormat="1">
      <c r="A1" s="2" t="s">
        <v>147</v>
      </c>
      <c r="G1" s="3"/>
      <c r="H1" s="4"/>
      <c r="I1" s="4"/>
      <c r="K1" s="5"/>
    </row>
    <row r="2" spans="1:11" s="2" customFormat="1">
      <c r="A2" s="2" t="s">
        <v>6</v>
      </c>
      <c r="C2" s="2" t="s">
        <v>2</v>
      </c>
      <c r="G2" s="3"/>
      <c r="H2" s="4" t="s">
        <v>9</v>
      </c>
      <c r="I2" s="4"/>
      <c r="J2" s="2" t="s">
        <v>13</v>
      </c>
      <c r="K2" s="5" t="s">
        <v>10</v>
      </c>
    </row>
    <row r="3" spans="1:11" s="6" customFormat="1">
      <c r="B3" s="6" t="s">
        <v>0</v>
      </c>
      <c r="C3" s="6" t="s">
        <v>1</v>
      </c>
      <c r="D3" s="6" t="s">
        <v>3</v>
      </c>
      <c r="E3" s="6" t="s">
        <v>4</v>
      </c>
      <c r="F3" s="6" t="s">
        <v>5</v>
      </c>
      <c r="G3" s="7" t="s">
        <v>16</v>
      </c>
      <c r="H3" s="8" t="s">
        <v>7</v>
      </c>
      <c r="I3" s="8" t="s">
        <v>8</v>
      </c>
      <c r="K3" s="9"/>
    </row>
    <row r="4" spans="1:11">
      <c r="A4">
        <v>1</v>
      </c>
      <c r="B4">
        <v>2.3E-2</v>
      </c>
      <c r="C4">
        <v>2.0499999999999998</v>
      </c>
      <c r="D4">
        <v>3.7999999999999999E-2</v>
      </c>
      <c r="E4">
        <v>0.31</v>
      </c>
      <c r="F4">
        <f>100-B4-C4-D4-E4</f>
        <v>97.579000000000008</v>
      </c>
      <c r="G4">
        <v>558.98981709459429</v>
      </c>
      <c r="H4">
        <v>12.524411136734237</v>
      </c>
      <c r="J4" t="s">
        <v>236</v>
      </c>
      <c r="K4" t="s">
        <v>237</v>
      </c>
    </row>
    <row r="5" spans="1:11">
      <c r="A5">
        <v>2</v>
      </c>
      <c r="B5">
        <v>4.5999999999999999E-2</v>
      </c>
      <c r="C5">
        <v>2.11</v>
      </c>
      <c r="D5">
        <v>2.8000000000000001E-2</v>
      </c>
      <c r="E5">
        <v>0.31</v>
      </c>
      <c r="F5">
        <f>100-B5-C5-D5-E5</f>
        <v>97.505999999999986</v>
      </c>
      <c r="G5">
        <v>604.23181116380158</v>
      </c>
      <c r="H5">
        <v>13.201587099917521</v>
      </c>
    </row>
    <row r="6" spans="1:11">
      <c r="A6">
        <v>3</v>
      </c>
      <c r="G6">
        <v>642.52724604036837</v>
      </c>
      <c r="H6">
        <v>12.524411136734237</v>
      </c>
    </row>
    <row r="7" spans="1:11">
      <c r="A7">
        <v>4</v>
      </c>
      <c r="B7">
        <v>8.7999999999999995E-2</v>
      </c>
      <c r="C7">
        <v>2.0699999999999998</v>
      </c>
      <c r="D7">
        <v>3.5999999999999997E-2</v>
      </c>
      <c r="E7">
        <v>0.31</v>
      </c>
      <c r="F7">
        <f>100-B7-C7-D7-E7</f>
        <v>97.496000000000009</v>
      </c>
      <c r="G7">
        <v>571.43302681375826</v>
      </c>
      <c r="H7">
        <v>18.649074902171179</v>
      </c>
    </row>
    <row r="8" spans="1:11">
      <c r="A8">
        <v>5</v>
      </c>
      <c r="G8">
        <v>702.80824216353153</v>
      </c>
      <c r="H8">
        <v>16.532497894273778</v>
      </c>
    </row>
    <row r="9" spans="1:11">
      <c r="A9">
        <v>6</v>
      </c>
      <c r="G9">
        <v>903.48961148886383</v>
      </c>
      <c r="H9">
        <v>7.2508181254216542</v>
      </c>
    </row>
    <row r="10" spans="1:11">
      <c r="A10">
        <v>7</v>
      </c>
      <c r="G10">
        <v>820.65883276792147</v>
      </c>
      <c r="H10">
        <v>11.739490685445819</v>
      </c>
    </row>
    <row r="11" spans="1:11">
      <c r="A11">
        <v>8</v>
      </c>
      <c r="B11">
        <v>0.17499999999999999</v>
      </c>
      <c r="C11">
        <v>2.1</v>
      </c>
      <c r="D11">
        <v>2.4E-2</v>
      </c>
      <c r="E11">
        <v>0.31</v>
      </c>
      <c r="F11">
        <f>100-B11-C11-D11-E11</f>
        <v>97.391000000000005</v>
      </c>
      <c r="G11">
        <v>775.23799171985479</v>
      </c>
      <c r="H11">
        <v>15.835396302985538</v>
      </c>
    </row>
    <row r="12" spans="1:11">
      <c r="A12">
        <v>9</v>
      </c>
      <c r="G12">
        <v>978.88476372466357</v>
      </c>
      <c r="H12">
        <v>9.3080656326330224</v>
      </c>
    </row>
    <row r="13" spans="1:11">
      <c r="A13">
        <v>10</v>
      </c>
      <c r="B13">
        <v>0.1</v>
      </c>
      <c r="C13">
        <v>3.5</v>
      </c>
      <c r="D13">
        <v>0</v>
      </c>
      <c r="E13">
        <v>0</v>
      </c>
      <c r="F13">
        <f>100-B13-C13-D13-E13</f>
        <v>96.4</v>
      </c>
      <c r="G13">
        <v>586.4948125527402</v>
      </c>
      <c r="H13">
        <v>18.057310172327611</v>
      </c>
      <c r="J13" t="s">
        <v>238</v>
      </c>
      <c r="K13" t="s">
        <v>239</v>
      </c>
    </row>
    <row r="14" spans="1:11">
      <c r="A14">
        <v>11</v>
      </c>
      <c r="G14">
        <v>655.06924871695276</v>
      </c>
      <c r="H14">
        <v>17.468496881387164</v>
      </c>
    </row>
    <row r="15" spans="1:11">
      <c r="A15">
        <v>12</v>
      </c>
      <c r="G15">
        <v>836.29221160424584</v>
      </c>
      <c r="H15">
        <v>14.11083192672351</v>
      </c>
    </row>
    <row r="16" spans="1:11">
      <c r="A16">
        <v>13</v>
      </c>
      <c r="G16">
        <v>947.81369414240874</v>
      </c>
      <c r="H16">
        <v>11.182187650653086</v>
      </c>
    </row>
    <row r="17" spans="1:11">
      <c r="A17">
        <v>14</v>
      </c>
      <c r="B17">
        <v>0.17</v>
      </c>
      <c r="C17">
        <v>1.49</v>
      </c>
      <c r="D17">
        <v>3.3000000000000002E-2</v>
      </c>
      <c r="E17">
        <v>0.22</v>
      </c>
      <c r="F17">
        <f>100-B17-C17-D17-E17</f>
        <v>98.087000000000003</v>
      </c>
      <c r="G17">
        <v>870</v>
      </c>
      <c r="H17">
        <v>7.2</v>
      </c>
      <c r="I17">
        <v>7.7</v>
      </c>
      <c r="J17" t="s">
        <v>240</v>
      </c>
      <c r="K17" t="s">
        <v>241</v>
      </c>
    </row>
    <row r="18" spans="1:11">
      <c r="A18">
        <v>15</v>
      </c>
      <c r="G18">
        <v>964</v>
      </c>
      <c r="H18">
        <v>7.4</v>
      </c>
      <c r="I18">
        <v>8.9</v>
      </c>
    </row>
    <row r="19" spans="1:11">
      <c r="A19">
        <v>16</v>
      </c>
      <c r="G19">
        <v>1037</v>
      </c>
      <c r="H19">
        <v>7.1</v>
      </c>
      <c r="I19">
        <v>7.3</v>
      </c>
    </row>
    <row r="20" spans="1:11">
      <c r="A20">
        <v>17</v>
      </c>
      <c r="G20">
        <v>1005</v>
      </c>
      <c r="H20">
        <v>8.6</v>
      </c>
      <c r="I20">
        <v>11.4</v>
      </c>
    </row>
    <row r="21" spans="1:11">
      <c r="A21">
        <v>18</v>
      </c>
      <c r="G21">
        <v>633</v>
      </c>
      <c r="H21">
        <v>7.3</v>
      </c>
      <c r="I21">
        <v>13.3</v>
      </c>
    </row>
    <row r="22" spans="1:11">
      <c r="A22">
        <v>19</v>
      </c>
      <c r="B22">
        <v>6.3E-2</v>
      </c>
      <c r="C22">
        <v>1.29</v>
      </c>
      <c r="D22">
        <v>5.0000000000000001E-3</v>
      </c>
      <c r="E22">
        <v>0.24</v>
      </c>
      <c r="F22">
        <f>100-B22-C22-D22-E22</f>
        <v>98.402000000000001</v>
      </c>
      <c r="G22">
        <v>470.52394438548112</v>
      </c>
      <c r="H22">
        <v>18.293661064781077</v>
      </c>
      <c r="J22" t="s">
        <v>242</v>
      </c>
      <c r="K22" t="s">
        <v>243</v>
      </c>
    </row>
    <row r="23" spans="1:11">
      <c r="A23">
        <v>20</v>
      </c>
      <c r="B23">
        <v>0.12</v>
      </c>
      <c r="C23">
        <v>0.87</v>
      </c>
      <c r="D23">
        <v>0.02</v>
      </c>
      <c r="E23">
        <v>0.25</v>
      </c>
      <c r="F23">
        <f>100-B23-C23-D23-E23</f>
        <v>98.74</v>
      </c>
      <c r="G23">
        <v>681.76388324155039</v>
      </c>
      <c r="H23">
        <v>11.182187650653086</v>
      </c>
      <c r="J23" t="s">
        <v>244</v>
      </c>
      <c r="K23" t="s">
        <v>245</v>
      </c>
    </row>
    <row r="24" spans="1:11">
      <c r="A24">
        <v>21</v>
      </c>
      <c r="G24">
        <v>707.65507475280481</v>
      </c>
      <c r="H24">
        <v>11.071061035570517</v>
      </c>
    </row>
    <row r="25" spans="1:11">
      <c r="A25">
        <v>22</v>
      </c>
      <c r="G25">
        <v>728.31315199607752</v>
      </c>
      <c r="H25">
        <v>11.627807045887128</v>
      </c>
    </row>
    <row r="26" spans="1:11">
      <c r="A26">
        <v>23</v>
      </c>
      <c r="G26">
        <v>746.5046841962785</v>
      </c>
      <c r="H26">
        <v>12.524411136734237</v>
      </c>
    </row>
    <row r="27" spans="1:11">
      <c r="A27">
        <v>24</v>
      </c>
      <c r="G27">
        <v>784.82209587356385</v>
      </c>
      <c r="H27">
        <v>12.636991828835287</v>
      </c>
    </row>
    <row r="28" spans="1:11">
      <c r="A28">
        <v>25</v>
      </c>
      <c r="G28">
        <v>840.1370512605348</v>
      </c>
      <c r="H28">
        <v>13.314845306682631</v>
      </c>
    </row>
    <row r="29" spans="1:11">
      <c r="A29">
        <v>26</v>
      </c>
      <c r="G29">
        <v>744.61129951294743</v>
      </c>
      <c r="H29">
        <v>9.8559745917173647</v>
      </c>
    </row>
    <row r="30" spans="1:11">
      <c r="A30">
        <v>27</v>
      </c>
      <c r="G30">
        <v>802.38427982222004</v>
      </c>
      <c r="H30">
        <v>10.296278510850776</v>
      </c>
    </row>
    <row r="31" spans="1:11">
      <c r="A31">
        <v>28</v>
      </c>
      <c r="G31">
        <v>808.22863476267662</v>
      </c>
      <c r="H31">
        <v>9.7461735268081995</v>
      </c>
    </row>
    <row r="32" spans="1:11">
      <c r="A32">
        <v>29</v>
      </c>
      <c r="G32">
        <v>838.9780853378104</v>
      </c>
      <c r="H32">
        <v>10.849140907600718</v>
      </c>
    </row>
    <row r="33" spans="1:11">
      <c r="A33">
        <v>30</v>
      </c>
      <c r="G33">
        <v>880.40680774898863</v>
      </c>
      <c r="H33">
        <v>10.517091807564771</v>
      </c>
    </row>
    <row r="34" spans="1:11">
      <c r="A34">
        <v>31</v>
      </c>
      <c r="G34">
        <v>907.49118250821425</v>
      </c>
      <c r="H34">
        <v>11.516235034144785</v>
      </c>
      <c r="K34" s="10"/>
    </row>
    <row r="35" spans="1:11">
      <c r="A35">
        <v>32</v>
      </c>
      <c r="G35">
        <v>815.6389085484941</v>
      </c>
      <c r="H35">
        <v>8.8717066698398739</v>
      </c>
    </row>
    <row r="36" spans="1:11">
      <c r="A36">
        <v>33</v>
      </c>
      <c r="G36">
        <v>855.86164962890791</v>
      </c>
      <c r="H36">
        <v>8.5455809829549025</v>
      </c>
    </row>
    <row r="37" spans="1:11">
      <c r="A37">
        <v>34</v>
      </c>
      <c r="G37">
        <v>878.28786904565027</v>
      </c>
      <c r="H37">
        <v>9.4174283705210406</v>
      </c>
    </row>
    <row r="38" spans="1:11">
      <c r="A38">
        <v>35</v>
      </c>
      <c r="G38">
        <v>909.3688340964552</v>
      </c>
      <c r="H38">
        <v>9.6364822080816879</v>
      </c>
    </row>
    <row r="39" spans="1:11">
      <c r="A39">
        <v>36</v>
      </c>
      <c r="G39">
        <v>972.42278112858673</v>
      </c>
      <c r="H39">
        <v>9.4174283705210406</v>
      </c>
    </row>
    <row r="40" spans="1:11">
      <c r="A40">
        <v>37</v>
      </c>
      <c r="G40">
        <v>992.20821084243607</v>
      </c>
      <c r="H40">
        <v>9.8559745917173647</v>
      </c>
    </row>
    <row r="41" spans="1:11">
      <c r="A41">
        <v>38</v>
      </c>
      <c r="B41">
        <v>0.1</v>
      </c>
      <c r="C41">
        <v>1</v>
      </c>
      <c r="D41">
        <v>2.5999999999999999E-3</v>
      </c>
      <c r="E41">
        <v>0.1</v>
      </c>
      <c r="F41">
        <f>100-B41-C41-D41-E41</f>
        <v>98.79740000000001</v>
      </c>
      <c r="G41">
        <v>697</v>
      </c>
      <c r="H41">
        <v>16.100000000000001</v>
      </c>
      <c r="I41">
        <v>22.2</v>
      </c>
      <c r="J41" t="s">
        <v>246</v>
      </c>
      <c r="K41" t="s">
        <v>247</v>
      </c>
    </row>
    <row r="42" spans="1:11">
      <c r="A42">
        <v>39</v>
      </c>
      <c r="B42">
        <v>0.15</v>
      </c>
      <c r="C42">
        <v>1</v>
      </c>
      <c r="D42">
        <v>2.5999999999999999E-3</v>
      </c>
      <c r="E42">
        <v>0.1</v>
      </c>
      <c r="F42">
        <f>100-B42-C42-D42-E42</f>
        <v>98.747399999999999</v>
      </c>
      <c r="G42">
        <v>907</v>
      </c>
      <c r="H42">
        <v>11.6</v>
      </c>
      <c r="I42">
        <v>16</v>
      </c>
    </row>
    <row r="43" spans="1:11">
      <c r="A43">
        <v>40</v>
      </c>
      <c r="B43">
        <v>0.16600000000000001</v>
      </c>
      <c r="C43">
        <v>1.03</v>
      </c>
      <c r="D43">
        <v>0</v>
      </c>
      <c r="E43">
        <v>0.24</v>
      </c>
      <c r="F43">
        <f>100-B43-C43-D43-E43</f>
        <v>98.564000000000007</v>
      </c>
      <c r="G43">
        <v>924</v>
      </c>
      <c r="H43">
        <v>6.39</v>
      </c>
      <c r="I43">
        <v>12</v>
      </c>
      <c r="J43" t="s">
        <v>248</v>
      </c>
      <c r="K43" t="s">
        <v>249</v>
      </c>
    </row>
    <row r="44" spans="1:11">
      <c r="A44">
        <v>41</v>
      </c>
      <c r="G44">
        <v>1069</v>
      </c>
      <c r="H44">
        <v>5.87</v>
      </c>
      <c r="I44">
        <v>8.9</v>
      </c>
    </row>
    <row r="45" spans="1:11">
      <c r="A45">
        <v>42</v>
      </c>
      <c r="G45">
        <v>691</v>
      </c>
      <c r="H45">
        <v>8.09</v>
      </c>
      <c r="I45">
        <v>17.3</v>
      </c>
    </row>
    <row r="46" spans="1:11">
      <c r="A46">
        <v>43</v>
      </c>
      <c r="G46">
        <v>835</v>
      </c>
      <c r="H46">
        <v>5.94</v>
      </c>
      <c r="I46">
        <v>7.29</v>
      </c>
    </row>
    <row r="47" spans="1:11">
      <c r="A47">
        <v>44</v>
      </c>
      <c r="G47">
        <v>892</v>
      </c>
      <c r="H47">
        <v>5.34</v>
      </c>
      <c r="I47">
        <v>8</v>
      </c>
    </row>
    <row r="48" spans="1:11">
      <c r="A48">
        <v>45</v>
      </c>
      <c r="B48">
        <v>0.17</v>
      </c>
      <c r="C48">
        <v>1.63</v>
      </c>
      <c r="D48">
        <v>3.5999999999999997E-2</v>
      </c>
      <c r="E48">
        <v>0.28000000000000003</v>
      </c>
      <c r="F48">
        <f>100-B48-C48-D48-E48</f>
        <v>97.884</v>
      </c>
      <c r="G48">
        <v>665</v>
      </c>
      <c r="H48">
        <v>10.6</v>
      </c>
      <c r="J48" t="s">
        <v>240</v>
      </c>
      <c r="K48" t="s">
        <v>250</v>
      </c>
    </row>
    <row r="49" spans="1:11">
      <c r="A49">
        <v>46</v>
      </c>
      <c r="G49">
        <v>893</v>
      </c>
      <c r="H49">
        <v>11.3</v>
      </c>
    </row>
    <row r="50" spans="1:11">
      <c r="A50">
        <v>47</v>
      </c>
      <c r="G50">
        <v>1008</v>
      </c>
      <c r="H50">
        <v>12.4</v>
      </c>
    </row>
    <row r="51" spans="1:11">
      <c r="A51">
        <v>48</v>
      </c>
      <c r="B51">
        <v>0.09</v>
      </c>
      <c r="C51">
        <v>1.34</v>
      </c>
      <c r="D51">
        <v>0</v>
      </c>
      <c r="E51">
        <v>1.2E-2</v>
      </c>
      <c r="F51">
        <f>100-B51-C51-D51-E51</f>
        <v>98.557999999999993</v>
      </c>
      <c r="G51">
        <v>719.07119047855917</v>
      </c>
      <c r="H51">
        <v>13.201587099917521</v>
      </c>
      <c r="J51" t="s">
        <v>251</v>
      </c>
      <c r="K51" t="s">
        <v>252</v>
      </c>
    </row>
    <row r="52" spans="1:11">
      <c r="A52">
        <v>49</v>
      </c>
      <c r="G52">
        <v>792.29639335434706</v>
      </c>
      <c r="H52">
        <v>10.186037362101064</v>
      </c>
    </row>
    <row r="53" spans="1:11">
      <c r="A53">
        <v>50</v>
      </c>
      <c r="G53">
        <v>859.54673746369326</v>
      </c>
      <c r="H53">
        <v>8.5455809829549025</v>
      </c>
    </row>
    <row r="54" spans="1:11">
      <c r="A54">
        <v>51</v>
      </c>
      <c r="G54">
        <v>891.99630000467664</v>
      </c>
      <c r="H54">
        <v>6.5026839231305367</v>
      </c>
    </row>
    <row r="55" spans="1:11">
      <c r="A55">
        <v>52</v>
      </c>
      <c r="G55">
        <v>1004.8955300399638</v>
      </c>
      <c r="H55">
        <v>4.2894478750763243</v>
      </c>
    </row>
    <row r="56" spans="1:11">
      <c r="A56">
        <v>53</v>
      </c>
      <c r="B56">
        <v>0.17199999999999999</v>
      </c>
      <c r="C56">
        <v>1.387</v>
      </c>
      <c r="D56">
        <v>0</v>
      </c>
      <c r="E56">
        <v>0.252</v>
      </c>
      <c r="F56">
        <f>100-B56-C56-D56-E56</f>
        <v>98.189000000000007</v>
      </c>
      <c r="G56">
        <v>559.31891448002852</v>
      </c>
      <c r="H56">
        <v>12.636991828835287</v>
      </c>
    </row>
    <row r="57" spans="1:11">
      <c r="A57">
        <v>54</v>
      </c>
      <c r="B57">
        <v>0.11</v>
      </c>
      <c r="C57">
        <v>2.1320000000000001</v>
      </c>
      <c r="D57">
        <v>0</v>
      </c>
      <c r="E57">
        <v>0.63900000000000001</v>
      </c>
      <c r="F57">
        <f>100-B57-C57-D57-E57</f>
        <v>97.119</v>
      </c>
      <c r="G57">
        <v>730.4141687194126</v>
      </c>
      <c r="H57">
        <v>9.5269005258465498</v>
      </c>
    </row>
    <row r="58" spans="1:11">
      <c r="A58">
        <v>55</v>
      </c>
      <c r="B58">
        <v>0.15</v>
      </c>
      <c r="C58">
        <v>1.7</v>
      </c>
      <c r="D58">
        <v>0</v>
      </c>
      <c r="E58">
        <v>0.5</v>
      </c>
      <c r="F58">
        <f>100-B58-C58-D58-E58</f>
        <v>97.649999999999991</v>
      </c>
      <c r="G58">
        <v>893.10570374670135</v>
      </c>
      <c r="H58">
        <v>10.849140907600718</v>
      </c>
      <c r="J58" t="s">
        <v>253</v>
      </c>
      <c r="K58" t="s">
        <v>254</v>
      </c>
    </row>
    <row r="59" spans="1:11">
      <c r="A59">
        <v>56</v>
      </c>
      <c r="G59">
        <v>1052.7649671145962</v>
      </c>
      <c r="H59">
        <v>10.186037362101064</v>
      </c>
    </row>
    <row r="60" spans="1:11">
      <c r="A60">
        <v>57</v>
      </c>
      <c r="G60">
        <v>1122.9434374497903</v>
      </c>
      <c r="H60">
        <v>5.9714995710287599</v>
      </c>
    </row>
    <row r="61" spans="1:11">
      <c r="A61">
        <v>58</v>
      </c>
      <c r="B61">
        <v>5.1999999999999998E-2</v>
      </c>
      <c r="C61">
        <v>1.61</v>
      </c>
      <c r="D61">
        <v>3.3000000000000002E-2</v>
      </c>
      <c r="E61">
        <v>0.77</v>
      </c>
      <c r="F61">
        <f t="shared" ref="F61:F68" si="0">100-B61-C61-D61-E61</f>
        <v>97.534999999999997</v>
      </c>
      <c r="G61">
        <v>507.88832874866159</v>
      </c>
      <c r="H61">
        <v>17.939311871139061</v>
      </c>
      <c r="J61" t="s">
        <v>255</v>
      </c>
      <c r="K61" t="s">
        <v>256</v>
      </c>
    </row>
    <row r="62" spans="1:11">
      <c r="A62">
        <v>59</v>
      </c>
      <c r="B62">
        <v>0.11</v>
      </c>
      <c r="C62">
        <v>1.6</v>
      </c>
      <c r="D62">
        <v>0.06</v>
      </c>
      <c r="E62">
        <v>0.73</v>
      </c>
      <c r="F62">
        <f t="shared" si="0"/>
        <v>97.5</v>
      </c>
      <c r="G62">
        <v>725.044768322604</v>
      </c>
      <c r="H62">
        <v>15.027379885722736</v>
      </c>
    </row>
    <row r="63" spans="1:11">
      <c r="A63">
        <v>60</v>
      </c>
      <c r="G63">
        <v>708.52696185002674</v>
      </c>
      <c r="H63">
        <v>15.027379885722736</v>
      </c>
    </row>
    <row r="64" spans="1:11">
      <c r="A64">
        <v>61</v>
      </c>
      <c r="G64">
        <v>617.24434713315213</v>
      </c>
      <c r="H64">
        <v>15.027379885722736</v>
      </c>
    </row>
    <row r="65" spans="1:11">
      <c r="A65">
        <v>62</v>
      </c>
      <c r="B65">
        <v>0.23</v>
      </c>
      <c r="C65">
        <v>1.6</v>
      </c>
      <c r="D65">
        <v>0.05</v>
      </c>
      <c r="E65">
        <v>0.74</v>
      </c>
      <c r="F65">
        <f t="shared" si="0"/>
        <v>97.38000000000001</v>
      </c>
      <c r="G65">
        <v>1352.0500826389452</v>
      </c>
      <c r="H65">
        <v>8.8717066698398739</v>
      </c>
    </row>
    <row r="66" spans="1:11">
      <c r="A66">
        <v>63</v>
      </c>
      <c r="G66">
        <v>1289.867099622968</v>
      </c>
      <c r="H66">
        <v>5.1271096376024117</v>
      </c>
    </row>
    <row r="67" spans="1:11">
      <c r="A67">
        <v>64</v>
      </c>
      <c r="G67">
        <v>1099.7895567720491</v>
      </c>
      <c r="H67">
        <v>6.9295478174600245</v>
      </c>
    </row>
    <row r="68" spans="1:11">
      <c r="A68">
        <v>65</v>
      </c>
      <c r="B68">
        <v>0.32</v>
      </c>
      <c r="C68">
        <v>1.61</v>
      </c>
      <c r="D68">
        <v>0.06</v>
      </c>
      <c r="E68">
        <v>0.74</v>
      </c>
      <c r="F68">
        <f t="shared" si="0"/>
        <v>97.27000000000001</v>
      </c>
      <c r="G68">
        <v>1960.1026287007915</v>
      </c>
      <c r="H68">
        <v>5.7597683736611227</v>
      </c>
    </row>
    <row r="69" spans="1:11">
      <c r="A69">
        <v>66</v>
      </c>
      <c r="G69">
        <v>1887.2048984134592</v>
      </c>
      <c r="H69">
        <v>4.9170655324470625</v>
      </c>
    </row>
    <row r="70" spans="1:11">
      <c r="A70">
        <v>67</v>
      </c>
      <c r="G70">
        <v>1699.4969823682782</v>
      </c>
      <c r="H70">
        <v>5.4429645119355996</v>
      </c>
    </row>
    <row r="71" spans="1:11">
      <c r="A71">
        <v>68</v>
      </c>
      <c r="B71">
        <v>0.06</v>
      </c>
      <c r="C71">
        <v>1.54</v>
      </c>
      <c r="D71">
        <v>0</v>
      </c>
      <c r="E71">
        <v>1.02</v>
      </c>
      <c r="F71">
        <f>100-B71-C71-D71-E71</f>
        <v>97.38</v>
      </c>
      <c r="G71">
        <v>581.4</v>
      </c>
      <c r="H71">
        <v>27.5</v>
      </c>
      <c r="J71" t="s">
        <v>302</v>
      </c>
      <c r="K71" t="s">
        <v>342</v>
      </c>
    </row>
    <row r="72" spans="1:11">
      <c r="A72">
        <v>69</v>
      </c>
      <c r="G72">
        <v>602.29999999999995</v>
      </c>
      <c r="H72">
        <v>27.2</v>
      </c>
    </row>
    <row r="73" spans="1:11">
      <c r="A73">
        <v>70</v>
      </c>
      <c r="G73">
        <v>615.6</v>
      </c>
      <c r="H73">
        <v>25.9</v>
      </c>
    </row>
    <row r="74" spans="1:11">
      <c r="A74">
        <v>71</v>
      </c>
      <c r="G74">
        <v>645.6</v>
      </c>
      <c r="H74">
        <v>23.2</v>
      </c>
    </row>
    <row r="75" spans="1:11">
      <c r="A75">
        <v>72</v>
      </c>
      <c r="G75">
        <v>642.29999999999995</v>
      </c>
      <c r="H75">
        <v>21</v>
      </c>
    </row>
    <row r="76" spans="1:11">
      <c r="A76">
        <v>73</v>
      </c>
      <c r="G76">
        <v>661.7</v>
      </c>
      <c r="H76">
        <v>21</v>
      </c>
    </row>
    <row r="77" spans="1:11">
      <c r="A77">
        <v>74</v>
      </c>
      <c r="G77">
        <v>686.9</v>
      </c>
      <c r="H77">
        <v>18.8</v>
      </c>
    </row>
    <row r="78" spans="1:11">
      <c r="A78">
        <v>75</v>
      </c>
      <c r="G78">
        <v>723.7</v>
      </c>
      <c r="H78">
        <v>18.399999999999999</v>
      </c>
    </row>
    <row r="79" spans="1:11">
      <c r="A79">
        <v>76</v>
      </c>
      <c r="G79">
        <v>762.6</v>
      </c>
      <c r="H79">
        <v>18.5</v>
      </c>
    </row>
    <row r="80" spans="1:11">
      <c r="A80">
        <v>77</v>
      </c>
      <c r="G80">
        <v>788.6</v>
      </c>
      <c r="H80">
        <v>14.1</v>
      </c>
    </row>
    <row r="81" spans="1:11">
      <c r="A81">
        <v>78</v>
      </c>
      <c r="G81">
        <v>814.3</v>
      </c>
      <c r="H81">
        <v>14.6</v>
      </c>
    </row>
    <row r="82" spans="1:11">
      <c r="A82">
        <v>79</v>
      </c>
      <c r="B82">
        <v>0.06</v>
      </c>
      <c r="C82">
        <v>1.55</v>
      </c>
      <c r="D82">
        <v>0</v>
      </c>
      <c r="E82">
        <v>1.94</v>
      </c>
      <c r="F82">
        <f>100-B82-C82-D82-E82</f>
        <v>96.45</v>
      </c>
      <c r="G82">
        <v>656.9</v>
      </c>
      <c r="H82">
        <v>30.4</v>
      </c>
    </row>
    <row r="83" spans="1:11">
      <c r="A83">
        <v>80</v>
      </c>
      <c r="G83">
        <v>646.70000000000005</v>
      </c>
      <c r="H83">
        <v>27.5</v>
      </c>
    </row>
    <row r="84" spans="1:11">
      <c r="A84">
        <v>81</v>
      </c>
      <c r="G84">
        <v>662.7</v>
      </c>
      <c r="H84">
        <v>27</v>
      </c>
    </row>
    <row r="85" spans="1:11">
      <c r="A85">
        <v>82</v>
      </c>
      <c r="G85">
        <v>687.8</v>
      </c>
      <c r="H85">
        <v>25.2</v>
      </c>
    </row>
    <row r="86" spans="1:11">
      <c r="A86">
        <v>83</v>
      </c>
      <c r="G86">
        <v>679.6</v>
      </c>
      <c r="H86">
        <v>24.1</v>
      </c>
    </row>
    <row r="87" spans="1:11">
      <c r="A87">
        <v>84</v>
      </c>
      <c r="G87">
        <v>706.6</v>
      </c>
      <c r="H87">
        <v>25.2</v>
      </c>
    </row>
    <row r="88" spans="1:11">
      <c r="A88">
        <v>85</v>
      </c>
      <c r="G88">
        <v>752.5</v>
      </c>
      <c r="H88">
        <v>24</v>
      </c>
    </row>
    <row r="89" spans="1:11">
      <c r="A89">
        <v>86</v>
      </c>
      <c r="G89">
        <v>732.5</v>
      </c>
      <c r="H89">
        <v>21.5</v>
      </c>
    </row>
    <row r="90" spans="1:11">
      <c r="A90">
        <v>87</v>
      </c>
      <c r="G90">
        <v>785.4</v>
      </c>
      <c r="H90">
        <v>20.7</v>
      </c>
    </row>
    <row r="91" spans="1:11">
      <c r="A91">
        <v>88</v>
      </c>
      <c r="G91">
        <v>790.4</v>
      </c>
      <c r="H91">
        <v>18.8</v>
      </c>
    </row>
    <row r="92" spans="1:11">
      <c r="A92">
        <v>89</v>
      </c>
      <c r="G92">
        <v>811.2</v>
      </c>
      <c r="H92">
        <v>18.8</v>
      </c>
    </row>
    <row r="93" spans="1:11">
      <c r="A93">
        <v>90</v>
      </c>
      <c r="B93">
        <v>0.1</v>
      </c>
      <c r="C93">
        <v>0.7</v>
      </c>
      <c r="D93">
        <v>0</v>
      </c>
      <c r="E93">
        <v>0.2</v>
      </c>
      <c r="F93">
        <f>100-B93-C93-D93-E93</f>
        <v>99</v>
      </c>
      <c r="G93">
        <v>511.1</v>
      </c>
      <c r="H93">
        <v>16.3</v>
      </c>
      <c r="J93" t="s">
        <v>331</v>
      </c>
      <c r="K93" t="s">
        <v>332</v>
      </c>
    </row>
    <row r="94" spans="1:11">
      <c r="A94">
        <v>91</v>
      </c>
      <c r="G94">
        <v>636.5</v>
      </c>
      <c r="H94">
        <v>14.1</v>
      </c>
    </row>
    <row r="95" spans="1:11">
      <c r="A95">
        <v>92</v>
      </c>
      <c r="G95">
        <v>667.6</v>
      </c>
      <c r="H95">
        <v>13.2</v>
      </c>
    </row>
    <row r="96" spans="1:11">
      <c r="A96">
        <v>93</v>
      </c>
      <c r="G96">
        <v>654.79999999999995</v>
      </c>
      <c r="H96">
        <v>16</v>
      </c>
    </row>
    <row r="97" spans="1:10">
      <c r="A97">
        <v>94</v>
      </c>
      <c r="G97">
        <v>568.29999999999995</v>
      </c>
      <c r="H97">
        <v>16.2</v>
      </c>
    </row>
    <row r="98" spans="1:10">
      <c r="A98">
        <v>95</v>
      </c>
      <c r="B98">
        <v>0.12</v>
      </c>
      <c r="C98">
        <v>1.5</v>
      </c>
      <c r="D98">
        <v>0.05</v>
      </c>
      <c r="E98">
        <v>1.2</v>
      </c>
      <c r="F98">
        <f>100-B98-C98-D98-E98</f>
        <v>97.13</v>
      </c>
      <c r="G98">
        <v>677</v>
      </c>
      <c r="H98">
        <v>18.8</v>
      </c>
      <c r="I98">
        <v>28.2</v>
      </c>
      <c r="J98" t="s">
        <v>333</v>
      </c>
    </row>
    <row r="185" spans="11:11">
      <c r="K185" s="10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0"/>
  <sheetViews>
    <sheetView zoomScale="85" zoomScaleNormal="85" workbookViewId="0">
      <selection activeCell="H19" sqref="H19"/>
    </sheetView>
  </sheetViews>
  <sheetFormatPr baseColWidth="10" defaultColWidth="8.83203125" defaultRowHeight="15"/>
  <cols>
    <col min="1" max="1" width="9" customWidth="1"/>
    <col min="7" max="7" width="10.5" customWidth="1"/>
    <col min="8" max="8" width="23" bestFit="1" customWidth="1"/>
    <col min="9" max="9" width="19" customWidth="1"/>
    <col min="10" max="10" width="26.83203125" customWidth="1"/>
    <col min="11" max="11" width="133.6640625" bestFit="1" customWidth="1"/>
  </cols>
  <sheetData>
    <row r="1" spans="1:11" s="2" customFormat="1">
      <c r="A1" s="2" t="s">
        <v>147</v>
      </c>
      <c r="G1" s="3"/>
      <c r="H1" s="4"/>
      <c r="I1" s="4"/>
      <c r="K1" s="5"/>
    </row>
    <row r="2" spans="1:11" s="2" customFormat="1">
      <c r="A2" s="2" t="s">
        <v>6</v>
      </c>
      <c r="C2" s="2" t="s">
        <v>2</v>
      </c>
      <c r="G2" s="3"/>
      <c r="H2" s="4" t="s">
        <v>9</v>
      </c>
      <c r="I2" s="4"/>
      <c r="J2" s="2" t="s">
        <v>13</v>
      </c>
      <c r="K2" s="5" t="s">
        <v>10</v>
      </c>
    </row>
    <row r="3" spans="1:11" s="6" customFormat="1">
      <c r="B3" s="6" t="s">
        <v>0</v>
      </c>
      <c r="C3" s="6" t="s">
        <v>1</v>
      </c>
      <c r="D3" s="6" t="s">
        <v>3</v>
      </c>
      <c r="E3" s="6" t="s">
        <v>4</v>
      </c>
      <c r="F3" s="6" t="s">
        <v>5</v>
      </c>
      <c r="G3" s="7" t="s">
        <v>16</v>
      </c>
      <c r="H3" s="8" t="s">
        <v>7</v>
      </c>
      <c r="I3" s="8" t="s">
        <v>8</v>
      </c>
      <c r="K3" s="9"/>
    </row>
    <row r="4" spans="1:11">
      <c r="A4">
        <v>1</v>
      </c>
      <c r="B4">
        <v>0.20100000000000001</v>
      </c>
      <c r="C4">
        <v>0.95</v>
      </c>
      <c r="D4">
        <v>0.04</v>
      </c>
      <c r="E4">
        <v>1.24</v>
      </c>
      <c r="F4">
        <f>100-B4-C4-D4-E4</f>
        <v>97.569000000000003</v>
      </c>
      <c r="G4">
        <v>752.8</v>
      </c>
      <c r="H4">
        <v>21.2</v>
      </c>
      <c r="I4">
        <v>29.2</v>
      </c>
      <c r="J4" t="s">
        <v>261</v>
      </c>
      <c r="K4" t="s">
        <v>262</v>
      </c>
    </row>
    <row r="5" spans="1:11">
      <c r="A5">
        <v>2</v>
      </c>
      <c r="G5">
        <v>746</v>
      </c>
      <c r="H5">
        <v>23.8</v>
      </c>
      <c r="I5">
        <v>32.200000000000003</v>
      </c>
    </row>
    <row r="6" spans="1:11">
      <c r="A6">
        <v>3</v>
      </c>
      <c r="G6">
        <v>701.6</v>
      </c>
      <c r="H6">
        <v>25.8</v>
      </c>
      <c r="I6">
        <v>33.299999999999997</v>
      </c>
    </row>
    <row r="7" spans="1:11">
      <c r="A7">
        <v>4</v>
      </c>
      <c r="G7">
        <v>658.5</v>
      </c>
      <c r="H7">
        <v>22.7</v>
      </c>
      <c r="I7">
        <v>31.3</v>
      </c>
    </row>
    <row r="8" spans="1:11">
      <c r="A8">
        <v>5</v>
      </c>
      <c r="G8">
        <v>656.5</v>
      </c>
      <c r="H8">
        <v>21</v>
      </c>
      <c r="I8">
        <v>30.4</v>
      </c>
    </row>
    <row r="9" spans="1:11">
      <c r="A9">
        <v>6</v>
      </c>
      <c r="G9">
        <v>665.5</v>
      </c>
      <c r="H9">
        <v>23.7</v>
      </c>
      <c r="I9">
        <v>31.2</v>
      </c>
    </row>
    <row r="10" spans="1:11">
      <c r="A10">
        <v>7</v>
      </c>
      <c r="G10">
        <v>676.4</v>
      </c>
      <c r="H10">
        <v>25.7</v>
      </c>
      <c r="I10">
        <v>31.7</v>
      </c>
    </row>
    <row r="11" spans="1:11">
      <c r="A11">
        <v>8</v>
      </c>
      <c r="B11">
        <v>0.2</v>
      </c>
      <c r="C11">
        <v>0.95099999999999996</v>
      </c>
      <c r="D11">
        <v>4.1000000000000002E-2</v>
      </c>
      <c r="E11">
        <v>1.56</v>
      </c>
      <c r="F11">
        <f t="shared" ref="F11:F36" si="0">100-B11-C11-D11-E11</f>
        <v>97.248000000000005</v>
      </c>
      <c r="G11">
        <v>811.3</v>
      </c>
      <c r="H11">
        <v>20.5</v>
      </c>
      <c r="I11">
        <v>28.8</v>
      </c>
    </row>
    <row r="12" spans="1:11">
      <c r="A12">
        <v>9</v>
      </c>
      <c r="G12">
        <v>759.5</v>
      </c>
      <c r="H12">
        <v>24.6</v>
      </c>
      <c r="I12">
        <v>33.9</v>
      </c>
    </row>
    <row r="13" spans="1:11">
      <c r="A13">
        <v>10</v>
      </c>
      <c r="G13">
        <v>727.2</v>
      </c>
      <c r="H13">
        <v>26.1</v>
      </c>
      <c r="I13">
        <v>35.1</v>
      </c>
    </row>
    <row r="14" spans="1:11">
      <c r="A14">
        <v>11</v>
      </c>
      <c r="G14">
        <v>721.8</v>
      </c>
      <c r="H14">
        <v>26.9</v>
      </c>
      <c r="I14">
        <v>35</v>
      </c>
    </row>
    <row r="15" spans="1:11">
      <c r="A15">
        <v>12</v>
      </c>
      <c r="G15">
        <v>682.8</v>
      </c>
      <c r="H15">
        <v>21.9</v>
      </c>
      <c r="I15">
        <v>31.2</v>
      </c>
    </row>
    <row r="16" spans="1:11">
      <c r="A16">
        <v>13</v>
      </c>
      <c r="G16">
        <v>670.9</v>
      </c>
      <c r="H16">
        <v>19.100000000000001</v>
      </c>
      <c r="I16">
        <v>27.8</v>
      </c>
    </row>
    <row r="17" spans="1:9">
      <c r="A17">
        <v>14</v>
      </c>
      <c r="G17">
        <v>676.4</v>
      </c>
      <c r="H17">
        <v>25.8</v>
      </c>
      <c r="I17">
        <v>35</v>
      </c>
    </row>
    <row r="18" spans="1:9">
      <c r="A18">
        <v>15</v>
      </c>
      <c r="G18">
        <v>688.7</v>
      </c>
      <c r="H18">
        <v>26.1</v>
      </c>
      <c r="I18">
        <v>34</v>
      </c>
    </row>
    <row r="19" spans="1:9">
      <c r="A19">
        <v>16</v>
      </c>
      <c r="B19">
        <v>0.19900000000000001</v>
      </c>
      <c r="C19">
        <v>0.94</v>
      </c>
      <c r="D19">
        <v>4.1000000000000002E-2</v>
      </c>
      <c r="E19">
        <v>2.1</v>
      </c>
      <c r="F19">
        <f t="shared" si="0"/>
        <v>96.720000000000013</v>
      </c>
      <c r="G19">
        <v>814</v>
      </c>
      <c r="H19">
        <v>22.2</v>
      </c>
      <c r="I19">
        <v>30.2</v>
      </c>
    </row>
    <row r="20" spans="1:9">
      <c r="A20">
        <v>17</v>
      </c>
      <c r="G20">
        <v>770.3</v>
      </c>
      <c r="H20">
        <v>25.7</v>
      </c>
      <c r="I20">
        <v>34.4</v>
      </c>
    </row>
    <row r="21" spans="1:9">
      <c r="A21">
        <v>18</v>
      </c>
      <c r="G21">
        <v>752.8</v>
      </c>
      <c r="H21">
        <v>28.2</v>
      </c>
      <c r="I21">
        <v>36</v>
      </c>
    </row>
    <row r="22" spans="1:9">
      <c r="A22">
        <v>19</v>
      </c>
      <c r="G22">
        <v>740</v>
      </c>
      <c r="H22">
        <v>28.7</v>
      </c>
      <c r="I22">
        <v>37</v>
      </c>
    </row>
    <row r="23" spans="1:9">
      <c r="A23">
        <v>20</v>
      </c>
      <c r="G23">
        <v>717.8</v>
      </c>
      <c r="H23">
        <v>23.6</v>
      </c>
      <c r="I23">
        <v>32.1</v>
      </c>
    </row>
    <row r="24" spans="1:9">
      <c r="A24">
        <v>21</v>
      </c>
      <c r="G24">
        <v>670.9</v>
      </c>
      <c r="H24">
        <v>19.100000000000001</v>
      </c>
      <c r="I24">
        <v>27.9</v>
      </c>
    </row>
    <row r="25" spans="1:9">
      <c r="A25">
        <v>22</v>
      </c>
      <c r="G25">
        <v>699.6</v>
      </c>
      <c r="H25">
        <v>26.3</v>
      </c>
      <c r="I25">
        <v>34</v>
      </c>
    </row>
    <row r="26" spans="1:9">
      <c r="A26">
        <v>23</v>
      </c>
      <c r="G26">
        <v>702.3</v>
      </c>
      <c r="H26">
        <v>28</v>
      </c>
      <c r="I26">
        <v>36.5</v>
      </c>
    </row>
    <row r="27" spans="1:9">
      <c r="A27">
        <v>24</v>
      </c>
      <c r="B27">
        <v>0.20300000000000001</v>
      </c>
      <c r="C27">
        <v>1.25</v>
      </c>
      <c r="D27">
        <v>4.2000000000000003E-2</v>
      </c>
      <c r="E27">
        <v>1.24</v>
      </c>
      <c r="F27">
        <f t="shared" si="0"/>
        <v>97.265000000000001</v>
      </c>
      <c r="G27">
        <v>853</v>
      </c>
      <c r="H27">
        <v>19.2</v>
      </c>
      <c r="I27">
        <v>26.4</v>
      </c>
    </row>
    <row r="28" spans="1:9">
      <c r="A28">
        <v>25</v>
      </c>
      <c r="G28">
        <v>767.1</v>
      </c>
      <c r="H28">
        <v>22.2</v>
      </c>
      <c r="I28">
        <v>29</v>
      </c>
    </row>
    <row r="29" spans="1:9">
      <c r="A29">
        <v>26</v>
      </c>
      <c r="G29">
        <v>751.3</v>
      </c>
      <c r="H29">
        <v>25.1</v>
      </c>
      <c r="I29">
        <v>32.799999999999997</v>
      </c>
    </row>
    <row r="30" spans="1:9">
      <c r="A30">
        <v>27</v>
      </c>
      <c r="G30">
        <v>691.2</v>
      </c>
      <c r="H30">
        <v>26.4</v>
      </c>
      <c r="I30">
        <v>35.299999999999997</v>
      </c>
    </row>
    <row r="31" spans="1:9">
      <c r="A31">
        <v>28</v>
      </c>
      <c r="G31">
        <v>687.6</v>
      </c>
      <c r="H31">
        <v>23.6</v>
      </c>
      <c r="I31">
        <v>31.9</v>
      </c>
    </row>
    <row r="32" spans="1:9">
      <c r="A32">
        <v>29</v>
      </c>
      <c r="G32">
        <v>655</v>
      </c>
      <c r="H32">
        <v>17.899999999999999</v>
      </c>
      <c r="I32">
        <v>27</v>
      </c>
    </row>
    <row r="33" spans="1:9">
      <c r="A33">
        <v>30</v>
      </c>
      <c r="G33">
        <v>683.4</v>
      </c>
      <c r="H33">
        <v>22.4</v>
      </c>
      <c r="I33">
        <v>29.8</v>
      </c>
    </row>
    <row r="34" spans="1:9">
      <c r="A34">
        <v>31</v>
      </c>
      <c r="G34">
        <v>688.9</v>
      </c>
      <c r="H34">
        <v>26.2</v>
      </c>
      <c r="I34">
        <v>33.1</v>
      </c>
    </row>
    <row r="35" spans="1:9">
      <c r="A35">
        <v>32</v>
      </c>
      <c r="G35">
        <v>707.9</v>
      </c>
      <c r="H35">
        <v>26.7</v>
      </c>
      <c r="I35">
        <v>35.799999999999997</v>
      </c>
    </row>
    <row r="36" spans="1:9">
      <c r="A36">
        <v>33</v>
      </c>
      <c r="B36">
        <v>0.19500000000000001</v>
      </c>
      <c r="C36">
        <v>1.55</v>
      </c>
      <c r="D36">
        <v>0.04</v>
      </c>
      <c r="E36">
        <v>1.21</v>
      </c>
      <c r="F36">
        <f t="shared" si="0"/>
        <v>97.00500000000001</v>
      </c>
      <c r="G36">
        <v>899.6</v>
      </c>
      <c r="H36">
        <v>19.899999999999999</v>
      </c>
      <c r="I36">
        <v>24.8</v>
      </c>
    </row>
    <row r="37" spans="1:9">
      <c r="A37">
        <v>34</v>
      </c>
      <c r="G37">
        <v>831.1</v>
      </c>
      <c r="H37">
        <v>23.7</v>
      </c>
      <c r="I37">
        <v>29.1</v>
      </c>
    </row>
    <row r="38" spans="1:9">
      <c r="A38">
        <v>35</v>
      </c>
      <c r="G38">
        <v>797.3</v>
      </c>
      <c r="H38">
        <v>26.1</v>
      </c>
      <c r="I38">
        <v>32.700000000000003</v>
      </c>
    </row>
    <row r="39" spans="1:9">
      <c r="A39">
        <v>36</v>
      </c>
      <c r="G39">
        <v>763.5</v>
      </c>
      <c r="H39">
        <v>26.6</v>
      </c>
      <c r="I39">
        <v>33.9</v>
      </c>
    </row>
    <row r="40" spans="1:9">
      <c r="A40">
        <v>37</v>
      </c>
      <c r="G40">
        <v>764.2</v>
      </c>
      <c r="H40">
        <v>22.4</v>
      </c>
      <c r="I40">
        <v>29.6</v>
      </c>
    </row>
    <row r="41" spans="1:9">
      <c r="A41">
        <v>38</v>
      </c>
      <c r="G41">
        <v>764.9</v>
      </c>
      <c r="H41">
        <v>15.9</v>
      </c>
      <c r="I41">
        <v>23.5</v>
      </c>
    </row>
    <row r="42" spans="1:9">
      <c r="A42">
        <v>39</v>
      </c>
      <c r="G42">
        <v>1102.9000000000001</v>
      </c>
      <c r="H42">
        <v>6.4</v>
      </c>
      <c r="I42">
        <v>11</v>
      </c>
    </row>
    <row r="43" spans="1:9">
      <c r="A43">
        <v>40</v>
      </c>
      <c r="G43">
        <v>1057.5999999999999</v>
      </c>
      <c r="H43">
        <v>6.3</v>
      </c>
      <c r="I43">
        <v>10.9</v>
      </c>
    </row>
    <row r="44" spans="1:9">
      <c r="A44">
        <v>41</v>
      </c>
      <c r="G44">
        <v>1039.0999999999999</v>
      </c>
      <c r="H44">
        <v>6.7</v>
      </c>
      <c r="I44">
        <v>11.8</v>
      </c>
    </row>
    <row r="45" spans="1:9">
      <c r="A45">
        <v>42</v>
      </c>
      <c r="G45">
        <v>1009.2</v>
      </c>
      <c r="H45">
        <v>7.2</v>
      </c>
      <c r="I45">
        <v>10.6</v>
      </c>
    </row>
    <row r="46" spans="1:9">
      <c r="A46">
        <v>43</v>
      </c>
      <c r="G46">
        <v>1059.7</v>
      </c>
      <c r="H46">
        <v>6.5</v>
      </c>
      <c r="I46">
        <v>9.6</v>
      </c>
    </row>
    <row r="47" spans="1:9">
      <c r="A47">
        <v>44</v>
      </c>
      <c r="G47">
        <v>1467.2</v>
      </c>
      <c r="H47">
        <v>6.3</v>
      </c>
      <c r="I47">
        <v>9.1999999999999993</v>
      </c>
    </row>
    <row r="48" spans="1:9">
      <c r="A48">
        <v>45</v>
      </c>
      <c r="G48">
        <v>1448.6</v>
      </c>
      <c r="H48">
        <v>5.6</v>
      </c>
      <c r="I48">
        <v>8.6999999999999993</v>
      </c>
    </row>
    <row r="49" spans="1:9">
      <c r="A49">
        <v>46</v>
      </c>
      <c r="G49">
        <v>1430.2</v>
      </c>
      <c r="H49">
        <v>5.3</v>
      </c>
      <c r="I49">
        <v>8.6999999999999993</v>
      </c>
    </row>
    <row r="50" spans="1:9">
      <c r="A50">
        <v>47</v>
      </c>
      <c r="G50">
        <v>1434.8</v>
      </c>
      <c r="H50">
        <v>5.2</v>
      </c>
      <c r="I50">
        <v>7.7</v>
      </c>
    </row>
    <row r="51" spans="1:9">
      <c r="A51">
        <v>48</v>
      </c>
      <c r="G51">
        <v>1427.9</v>
      </c>
      <c r="H51">
        <v>5.3</v>
      </c>
      <c r="I51">
        <v>7.2</v>
      </c>
    </row>
    <row r="52" spans="1:9">
      <c r="A52">
        <v>49</v>
      </c>
      <c r="G52">
        <v>846.1</v>
      </c>
      <c r="H52">
        <v>20.6</v>
      </c>
      <c r="I52">
        <v>27</v>
      </c>
    </row>
    <row r="53" spans="1:9">
      <c r="A53">
        <v>50</v>
      </c>
      <c r="G53">
        <v>783.4</v>
      </c>
      <c r="H53">
        <v>23.4</v>
      </c>
      <c r="I53">
        <v>30.6</v>
      </c>
    </row>
    <row r="54" spans="1:9">
      <c r="A54">
        <v>51</v>
      </c>
      <c r="G54">
        <v>762.1</v>
      </c>
      <c r="H54">
        <v>26.8</v>
      </c>
      <c r="I54">
        <v>34</v>
      </c>
    </row>
    <row r="55" spans="1:9">
      <c r="A55">
        <v>52</v>
      </c>
      <c r="G55">
        <v>747</v>
      </c>
      <c r="H55">
        <v>28.7</v>
      </c>
      <c r="I55">
        <v>35.5</v>
      </c>
    </row>
    <row r="56" spans="1:9">
      <c r="A56">
        <v>53</v>
      </c>
      <c r="G56">
        <v>768.6</v>
      </c>
      <c r="H56">
        <v>25.7</v>
      </c>
      <c r="I56">
        <v>32.5</v>
      </c>
    </row>
    <row r="57" spans="1:9">
      <c r="A57">
        <v>54</v>
      </c>
      <c r="G57">
        <v>697</v>
      </c>
      <c r="H57">
        <v>22.1</v>
      </c>
      <c r="I57">
        <v>29.5</v>
      </c>
    </row>
    <row r="58" spans="1:9">
      <c r="A58">
        <v>55</v>
      </c>
      <c r="G58">
        <v>724.8</v>
      </c>
      <c r="H58">
        <v>26.4</v>
      </c>
      <c r="I58">
        <v>31.4</v>
      </c>
    </row>
    <row r="59" spans="1:9">
      <c r="A59">
        <v>56</v>
      </c>
      <c r="G59">
        <v>777.7</v>
      </c>
      <c r="H59">
        <v>25.6</v>
      </c>
      <c r="I59">
        <v>32.299999999999997</v>
      </c>
    </row>
    <row r="60" spans="1:9">
      <c r="A60">
        <v>57</v>
      </c>
      <c r="G60">
        <v>770.3</v>
      </c>
      <c r="H60">
        <v>23.8</v>
      </c>
      <c r="I60">
        <v>29.3</v>
      </c>
    </row>
    <row r="61" spans="1:9">
      <c r="A61">
        <v>58</v>
      </c>
      <c r="B61">
        <v>0.20100000000000001</v>
      </c>
      <c r="C61">
        <v>1.8</v>
      </c>
      <c r="D61">
        <v>4.1000000000000002E-2</v>
      </c>
      <c r="E61">
        <v>1.24</v>
      </c>
      <c r="F61">
        <f>100-B61-C61-D61-E61</f>
        <v>96.718000000000018</v>
      </c>
      <c r="G61">
        <v>865.2</v>
      </c>
      <c r="H61">
        <v>19.8</v>
      </c>
      <c r="I61">
        <v>26</v>
      </c>
    </row>
    <row r="62" spans="1:9">
      <c r="A62">
        <v>59</v>
      </c>
      <c r="G62">
        <v>803.8</v>
      </c>
      <c r="H62">
        <v>23.9</v>
      </c>
      <c r="I62">
        <v>30.9</v>
      </c>
    </row>
    <row r="63" spans="1:9">
      <c r="A63">
        <v>60</v>
      </c>
      <c r="G63">
        <v>800.2</v>
      </c>
      <c r="H63">
        <v>26</v>
      </c>
      <c r="I63">
        <v>32.200000000000003</v>
      </c>
    </row>
    <row r="64" spans="1:9">
      <c r="A64">
        <v>61</v>
      </c>
      <c r="G64">
        <v>817.8</v>
      </c>
      <c r="H64">
        <v>27.4</v>
      </c>
      <c r="I64">
        <v>33.9</v>
      </c>
    </row>
    <row r="65" spans="1:11">
      <c r="A65">
        <v>62</v>
      </c>
      <c r="G65">
        <v>853</v>
      </c>
      <c r="H65">
        <v>24.1</v>
      </c>
      <c r="I65">
        <v>30.1</v>
      </c>
    </row>
    <row r="66" spans="1:11">
      <c r="A66">
        <v>63</v>
      </c>
      <c r="G66">
        <v>787.9</v>
      </c>
      <c r="H66">
        <v>24.7</v>
      </c>
      <c r="I66">
        <v>28.7</v>
      </c>
    </row>
    <row r="67" spans="1:11">
      <c r="A67">
        <v>64</v>
      </c>
      <c r="G67">
        <v>815.7</v>
      </c>
      <c r="H67">
        <v>27.9</v>
      </c>
      <c r="I67">
        <v>33.6</v>
      </c>
    </row>
    <row r="68" spans="1:11">
      <c r="A68">
        <v>65</v>
      </c>
      <c r="G68">
        <v>839.5</v>
      </c>
      <c r="H68">
        <v>22.9</v>
      </c>
      <c r="I68">
        <v>29.1</v>
      </c>
    </row>
    <row r="69" spans="1:11">
      <c r="A69">
        <v>66</v>
      </c>
      <c r="G69">
        <v>859.2</v>
      </c>
      <c r="H69">
        <v>22.6</v>
      </c>
      <c r="I69">
        <v>27.4</v>
      </c>
    </row>
    <row r="70" spans="1:11">
      <c r="A70">
        <v>67</v>
      </c>
      <c r="B70">
        <v>0.115</v>
      </c>
      <c r="C70">
        <v>1.54</v>
      </c>
      <c r="D70">
        <v>0.91</v>
      </c>
      <c r="E70">
        <v>0.02</v>
      </c>
      <c r="F70">
        <f>100-B70-C70-D70-E70</f>
        <v>97.415000000000006</v>
      </c>
      <c r="G70">
        <v>840</v>
      </c>
      <c r="H70">
        <v>17.399999999999999</v>
      </c>
      <c r="I70">
        <v>17.399999999999999</v>
      </c>
      <c r="J70" t="s">
        <v>263</v>
      </c>
      <c r="K70" t="s">
        <v>264</v>
      </c>
    </row>
    <row r="71" spans="1:11">
      <c r="A71">
        <v>68</v>
      </c>
      <c r="G71">
        <v>544</v>
      </c>
      <c r="H71">
        <v>20.6</v>
      </c>
      <c r="I71">
        <v>32.6</v>
      </c>
    </row>
    <row r="72" spans="1:11">
      <c r="A72">
        <v>69</v>
      </c>
      <c r="G72">
        <v>543</v>
      </c>
      <c r="H72">
        <v>20.2</v>
      </c>
      <c r="I72">
        <v>30.2</v>
      </c>
    </row>
    <row r="73" spans="1:11">
      <c r="A73">
        <v>70</v>
      </c>
      <c r="G73">
        <v>544</v>
      </c>
      <c r="H73">
        <v>20.6</v>
      </c>
      <c r="I73">
        <v>30.8</v>
      </c>
    </row>
    <row r="74" spans="1:11">
      <c r="A74">
        <v>71</v>
      </c>
      <c r="B74">
        <v>0.183</v>
      </c>
      <c r="C74">
        <v>1.56</v>
      </c>
      <c r="D74">
        <v>1.73</v>
      </c>
      <c r="E74">
        <v>0.02</v>
      </c>
      <c r="F74">
        <f>100-B74-C74-D74-E74</f>
        <v>96.506999999999991</v>
      </c>
      <c r="G74">
        <v>986</v>
      </c>
      <c r="H74">
        <v>14.3</v>
      </c>
      <c r="I74">
        <v>14.3</v>
      </c>
    </row>
    <row r="75" spans="1:11">
      <c r="A75">
        <v>72</v>
      </c>
      <c r="G75">
        <v>633</v>
      </c>
      <c r="H75">
        <v>24.4</v>
      </c>
      <c r="I75">
        <v>32.299999999999997</v>
      </c>
    </row>
    <row r="76" spans="1:11">
      <c r="A76">
        <v>73</v>
      </c>
      <c r="G76">
        <v>623</v>
      </c>
      <c r="H76">
        <v>26.3</v>
      </c>
      <c r="I76">
        <v>34.9</v>
      </c>
    </row>
    <row r="77" spans="1:11">
      <c r="A77">
        <v>74</v>
      </c>
      <c r="G77">
        <v>635</v>
      </c>
      <c r="H77">
        <v>27.1</v>
      </c>
      <c r="I77">
        <v>35.299999999999997</v>
      </c>
    </row>
    <row r="78" spans="1:11">
      <c r="A78">
        <v>75</v>
      </c>
      <c r="B78">
        <v>0.15</v>
      </c>
      <c r="C78">
        <v>1.4</v>
      </c>
      <c r="D78">
        <v>0</v>
      </c>
      <c r="E78">
        <v>0.26</v>
      </c>
      <c r="F78">
        <f>100-B78-C78-D78-E78</f>
        <v>98.189999999999984</v>
      </c>
      <c r="G78">
        <v>470</v>
      </c>
      <c r="H78">
        <v>14.6</v>
      </c>
      <c r="I78">
        <v>28.5</v>
      </c>
      <c r="J78" t="s">
        <v>265</v>
      </c>
      <c r="K78" t="s">
        <v>266</v>
      </c>
    </row>
    <row r="79" spans="1:11">
      <c r="A79">
        <v>76</v>
      </c>
      <c r="B79">
        <v>0.17</v>
      </c>
      <c r="C79">
        <v>1.41</v>
      </c>
      <c r="D79">
        <v>0</v>
      </c>
      <c r="E79">
        <v>1.07</v>
      </c>
      <c r="F79">
        <f t="shared" ref="F79:F84" si="1">100-B79-C79-D79-E79</f>
        <v>97.350000000000009</v>
      </c>
      <c r="G79">
        <v>630</v>
      </c>
      <c r="H79">
        <v>17.8</v>
      </c>
      <c r="I79">
        <v>28.5</v>
      </c>
    </row>
    <row r="80" spans="1:11">
      <c r="A80">
        <v>77</v>
      </c>
      <c r="B80">
        <v>0.15</v>
      </c>
      <c r="C80">
        <v>1.41</v>
      </c>
      <c r="D80">
        <v>0</v>
      </c>
      <c r="E80">
        <v>1.24</v>
      </c>
      <c r="F80">
        <f t="shared" si="1"/>
        <v>97.2</v>
      </c>
      <c r="G80">
        <v>628</v>
      </c>
      <c r="H80">
        <v>19.5</v>
      </c>
      <c r="I80">
        <v>34</v>
      </c>
    </row>
    <row r="81" spans="1:11">
      <c r="A81">
        <v>78</v>
      </c>
      <c r="B81">
        <v>0.15</v>
      </c>
      <c r="C81">
        <v>1.4</v>
      </c>
      <c r="D81">
        <v>0</v>
      </c>
      <c r="E81">
        <v>1.44</v>
      </c>
      <c r="F81">
        <f t="shared" si="1"/>
        <v>97.009999999999991</v>
      </c>
      <c r="G81">
        <v>650</v>
      </c>
      <c r="H81">
        <v>23.5</v>
      </c>
      <c r="I81">
        <v>40</v>
      </c>
    </row>
    <row r="82" spans="1:11">
      <c r="A82">
        <v>79</v>
      </c>
      <c r="B82">
        <v>0.16</v>
      </c>
      <c r="C82">
        <v>1.4</v>
      </c>
      <c r="D82">
        <v>0</v>
      </c>
      <c r="E82">
        <v>1.71</v>
      </c>
      <c r="F82">
        <f t="shared" si="1"/>
        <v>96.73</v>
      </c>
      <c r="G82">
        <v>645</v>
      </c>
      <c r="H82">
        <v>18</v>
      </c>
      <c r="I82">
        <v>29</v>
      </c>
    </row>
    <row r="83" spans="1:11">
      <c r="A83">
        <v>80</v>
      </c>
      <c r="B83">
        <v>0.16</v>
      </c>
      <c r="C83">
        <v>1.39</v>
      </c>
      <c r="D83">
        <v>0</v>
      </c>
      <c r="E83">
        <v>1.96</v>
      </c>
      <c r="F83">
        <f t="shared" si="1"/>
        <v>96.490000000000009</v>
      </c>
      <c r="G83">
        <v>600</v>
      </c>
      <c r="H83">
        <v>17.399999999999999</v>
      </c>
      <c r="I83">
        <v>29</v>
      </c>
    </row>
    <row r="84" spans="1:11">
      <c r="A84">
        <v>81</v>
      </c>
      <c r="B84">
        <v>0.17</v>
      </c>
      <c r="C84">
        <v>2.0699999999999998</v>
      </c>
      <c r="D84">
        <v>0</v>
      </c>
      <c r="E84">
        <v>0.56999999999999995</v>
      </c>
      <c r="F84">
        <f t="shared" si="1"/>
        <v>97.190000000000012</v>
      </c>
      <c r="G84">
        <v>1271</v>
      </c>
      <c r="H84">
        <v>6.4</v>
      </c>
      <c r="I84">
        <v>12.2</v>
      </c>
      <c r="J84" t="s">
        <v>267</v>
      </c>
      <c r="K84" t="s">
        <v>268</v>
      </c>
    </row>
    <row r="85" spans="1:11">
      <c r="A85">
        <v>82</v>
      </c>
      <c r="G85">
        <v>1196</v>
      </c>
      <c r="H85">
        <v>10</v>
      </c>
      <c r="I85">
        <v>13</v>
      </c>
    </row>
    <row r="86" spans="1:11">
      <c r="A86">
        <v>83</v>
      </c>
      <c r="G86">
        <v>1024</v>
      </c>
      <c r="H86">
        <v>12</v>
      </c>
      <c r="I86">
        <v>16</v>
      </c>
    </row>
    <row r="87" spans="1:11">
      <c r="A87">
        <v>84</v>
      </c>
      <c r="B87">
        <v>0.15</v>
      </c>
      <c r="C87">
        <v>1.5</v>
      </c>
      <c r="D87">
        <v>0.04</v>
      </c>
      <c r="E87">
        <v>1.5</v>
      </c>
      <c r="F87">
        <f t="shared" ref="F87" si="2">100-B87-C87-D87-E87</f>
        <v>96.809999999999988</v>
      </c>
      <c r="G87">
        <v>754.13960087400824</v>
      </c>
      <c r="H87">
        <v>22.629815345621051</v>
      </c>
      <c r="J87" t="s">
        <v>269</v>
      </c>
      <c r="K87" t="s">
        <v>270</v>
      </c>
    </row>
    <row r="88" spans="1:11">
      <c r="A88">
        <v>85</v>
      </c>
      <c r="G88">
        <v>748.06504139904678</v>
      </c>
      <c r="H88">
        <v>17.703668968846699</v>
      </c>
    </row>
    <row r="89" spans="1:11">
      <c r="A89">
        <v>86</v>
      </c>
      <c r="G89">
        <v>1004.2785621748897</v>
      </c>
      <c r="H89">
        <v>8.5455809829549025</v>
      </c>
    </row>
    <row r="90" spans="1:11">
      <c r="A90">
        <v>87</v>
      </c>
      <c r="G90">
        <v>959.26420657513052</v>
      </c>
      <c r="H90">
        <v>10.960045491558246</v>
      </c>
    </row>
    <row r="91" spans="1:11">
      <c r="A91">
        <v>88</v>
      </c>
      <c r="B91">
        <v>0.31</v>
      </c>
      <c r="C91">
        <v>1.57</v>
      </c>
      <c r="D91">
        <v>8.9999999999999993E-3</v>
      </c>
      <c r="E91">
        <v>1.51</v>
      </c>
      <c r="F91">
        <f t="shared" ref="F91" si="3">100-B91-C91-D91-E91</f>
        <v>96.600999999999999</v>
      </c>
      <c r="G91">
        <v>944.92888573959522</v>
      </c>
      <c r="H91">
        <v>28.274203306981139</v>
      </c>
    </row>
    <row r="92" spans="1:11">
      <c r="A92">
        <v>89</v>
      </c>
      <c r="G92">
        <v>972.04610965117934</v>
      </c>
      <c r="H92">
        <v>15.951289636297394</v>
      </c>
    </row>
    <row r="93" spans="1:11">
      <c r="A93">
        <v>90</v>
      </c>
      <c r="B93">
        <v>0.46</v>
      </c>
      <c r="C93">
        <v>1.54</v>
      </c>
      <c r="D93">
        <v>0.05</v>
      </c>
      <c r="E93">
        <v>1.49</v>
      </c>
      <c r="F93">
        <f t="shared" ref="F93:F98" si="4">100-B93-C93-D93-E93</f>
        <v>96.460000000000008</v>
      </c>
      <c r="G93">
        <v>1238.3389520520418</v>
      </c>
      <c r="H93">
        <v>25.232271619186442</v>
      </c>
    </row>
    <row r="94" spans="1:11">
      <c r="A94">
        <v>91</v>
      </c>
      <c r="G94">
        <v>1251.5637000851038</v>
      </c>
      <c r="H94">
        <v>19.482532123480077</v>
      </c>
    </row>
    <row r="95" spans="1:11">
      <c r="A95">
        <v>92</v>
      </c>
      <c r="B95">
        <v>0.11</v>
      </c>
      <c r="C95">
        <v>1.53</v>
      </c>
      <c r="D95">
        <v>0.04</v>
      </c>
      <c r="E95">
        <v>1.5</v>
      </c>
      <c r="F95">
        <f t="shared" si="4"/>
        <v>96.82</v>
      </c>
      <c r="G95">
        <v>674.115790288482</v>
      </c>
      <c r="H95">
        <v>24.607673058738079</v>
      </c>
      <c r="J95" t="s">
        <v>271</v>
      </c>
      <c r="K95" t="s">
        <v>272</v>
      </c>
    </row>
    <row r="96" spans="1:11">
      <c r="A96">
        <v>93</v>
      </c>
      <c r="B96">
        <v>0.12</v>
      </c>
      <c r="C96">
        <v>1.51</v>
      </c>
      <c r="D96">
        <v>0.04</v>
      </c>
      <c r="E96">
        <v>0.78</v>
      </c>
      <c r="F96">
        <f t="shared" si="4"/>
        <v>97.549999999999983</v>
      </c>
      <c r="G96">
        <v>635.49804884062678</v>
      </c>
      <c r="H96">
        <v>23.367805995674317</v>
      </c>
    </row>
    <row r="97" spans="1:11">
      <c r="A97">
        <v>94</v>
      </c>
      <c r="B97">
        <v>0.11</v>
      </c>
      <c r="C97">
        <v>1.55</v>
      </c>
      <c r="D97">
        <v>1.5</v>
      </c>
      <c r="E97">
        <v>0.06</v>
      </c>
      <c r="F97">
        <f t="shared" si="4"/>
        <v>96.78</v>
      </c>
      <c r="G97">
        <v>581.02360972483439</v>
      </c>
      <c r="H97">
        <v>24.607673058738079</v>
      </c>
    </row>
    <row r="98" spans="1:11">
      <c r="A98">
        <v>95</v>
      </c>
      <c r="B98">
        <v>0.15</v>
      </c>
      <c r="C98">
        <v>1.52</v>
      </c>
      <c r="D98">
        <v>4.8000000000000001E-2</v>
      </c>
      <c r="E98">
        <v>0.64</v>
      </c>
      <c r="F98">
        <f t="shared" si="4"/>
        <v>97.641999999999996</v>
      </c>
      <c r="G98">
        <v>802.7</v>
      </c>
      <c r="H98">
        <v>15.4</v>
      </c>
      <c r="J98" t="s">
        <v>273</v>
      </c>
      <c r="K98" t="s">
        <v>274</v>
      </c>
    </row>
    <row r="99" spans="1:11">
      <c r="A99">
        <v>96</v>
      </c>
      <c r="G99">
        <v>787.6</v>
      </c>
      <c r="H99">
        <v>18.3</v>
      </c>
    </row>
    <row r="100" spans="1:11">
      <c r="A100">
        <v>97</v>
      </c>
      <c r="G100">
        <v>778.8</v>
      </c>
      <c r="H100">
        <v>18.899999999999999</v>
      </c>
    </row>
    <row r="101" spans="1:11">
      <c r="A101">
        <v>98</v>
      </c>
      <c r="G101">
        <v>754.6</v>
      </c>
      <c r="H101">
        <v>18.899999999999999</v>
      </c>
    </row>
    <row r="102" spans="1:11">
      <c r="A102">
        <v>99</v>
      </c>
      <c r="G102">
        <v>742.7</v>
      </c>
      <c r="H102">
        <v>19.600000000000001</v>
      </c>
    </row>
    <row r="103" spans="1:11">
      <c r="A103">
        <v>100</v>
      </c>
      <c r="G103">
        <v>746</v>
      </c>
      <c r="H103">
        <v>18.8</v>
      </c>
    </row>
    <row r="104" spans="1:11">
      <c r="A104">
        <v>101</v>
      </c>
      <c r="G104">
        <v>726.8</v>
      </c>
      <c r="H104">
        <v>20.5</v>
      </c>
    </row>
    <row r="105" spans="1:11">
      <c r="A105">
        <v>102</v>
      </c>
      <c r="G105">
        <v>735.8</v>
      </c>
      <c r="H105">
        <v>20.8</v>
      </c>
    </row>
    <row r="106" spans="1:11">
      <c r="A106">
        <v>103</v>
      </c>
      <c r="G106">
        <v>739.8</v>
      </c>
      <c r="H106">
        <v>19.7</v>
      </c>
    </row>
    <row r="107" spans="1:11">
      <c r="A107">
        <v>104</v>
      </c>
      <c r="G107">
        <v>726.9</v>
      </c>
      <c r="H107">
        <v>20.8</v>
      </c>
    </row>
    <row r="108" spans="1:11">
      <c r="A108">
        <v>105</v>
      </c>
      <c r="G108">
        <v>751.9</v>
      </c>
      <c r="H108">
        <v>18.600000000000001</v>
      </c>
    </row>
    <row r="109" spans="1:11">
      <c r="A109">
        <v>106</v>
      </c>
      <c r="G109">
        <v>760.8</v>
      </c>
      <c r="H109">
        <v>19.8</v>
      </c>
    </row>
    <row r="110" spans="1:11">
      <c r="A110">
        <v>107</v>
      </c>
      <c r="G110">
        <v>745.4</v>
      </c>
      <c r="H110">
        <v>20.399999999999999</v>
      </c>
    </row>
    <row r="111" spans="1:11">
      <c r="A111">
        <v>108</v>
      </c>
      <c r="G111">
        <v>747.7</v>
      </c>
      <c r="H111">
        <v>19</v>
      </c>
    </row>
    <row r="112" spans="1:11">
      <c r="A112">
        <v>109</v>
      </c>
      <c r="G112">
        <v>741.2</v>
      </c>
      <c r="H112">
        <v>16.8</v>
      </c>
    </row>
    <row r="113" spans="1:11">
      <c r="A113">
        <v>110</v>
      </c>
      <c r="B113">
        <v>0.16</v>
      </c>
      <c r="C113">
        <v>1.47</v>
      </c>
      <c r="D113">
        <v>4.5999999999999999E-2</v>
      </c>
      <c r="E113">
        <v>1.42</v>
      </c>
      <c r="F113">
        <f t="shared" ref="F113" si="5">100-B113-C113-D113-E113</f>
        <v>96.903999999999996</v>
      </c>
      <c r="G113">
        <v>756</v>
      </c>
      <c r="H113">
        <v>22.7</v>
      </c>
      <c r="J113" t="s">
        <v>275</v>
      </c>
      <c r="K113" t="s">
        <v>276</v>
      </c>
    </row>
    <row r="114" spans="1:11">
      <c r="A114">
        <v>111</v>
      </c>
      <c r="G114">
        <v>760</v>
      </c>
      <c r="H114">
        <v>20.8</v>
      </c>
    </row>
    <row r="115" spans="1:11">
      <c r="A115">
        <v>112</v>
      </c>
      <c r="G115">
        <v>773</v>
      </c>
      <c r="H115">
        <v>19.7</v>
      </c>
    </row>
    <row r="116" spans="1:11">
      <c r="A116">
        <v>113</v>
      </c>
      <c r="G116">
        <v>754</v>
      </c>
      <c r="H116">
        <v>14.6</v>
      </c>
    </row>
    <row r="117" spans="1:11">
      <c r="A117">
        <v>114</v>
      </c>
      <c r="G117">
        <v>725</v>
      </c>
      <c r="H117">
        <v>13.3</v>
      </c>
    </row>
    <row r="118" spans="1:11">
      <c r="A118">
        <v>115</v>
      </c>
      <c r="B118">
        <v>0.16</v>
      </c>
      <c r="C118">
        <v>2.52</v>
      </c>
      <c r="D118">
        <v>5.5E-2</v>
      </c>
      <c r="E118">
        <v>1.41</v>
      </c>
      <c r="F118">
        <f t="shared" ref="F118" si="6">100-B118-C118-D118-E118</f>
        <v>95.855000000000004</v>
      </c>
      <c r="G118">
        <v>1193</v>
      </c>
      <c r="H118">
        <v>14.5</v>
      </c>
    </row>
    <row r="119" spans="1:11">
      <c r="A119">
        <v>116</v>
      </c>
      <c r="G119">
        <v>1155</v>
      </c>
      <c r="H119">
        <v>13.6</v>
      </c>
    </row>
    <row r="120" spans="1:11">
      <c r="A120">
        <v>117</v>
      </c>
      <c r="G120">
        <v>1163</v>
      </c>
      <c r="H120">
        <v>13.6</v>
      </c>
    </row>
    <row r="121" spans="1:11">
      <c r="A121">
        <v>118</v>
      </c>
      <c r="G121">
        <v>1136</v>
      </c>
      <c r="H121">
        <v>13.4</v>
      </c>
    </row>
    <row r="122" spans="1:11">
      <c r="A122">
        <v>119</v>
      </c>
      <c r="G122">
        <v>1166</v>
      </c>
      <c r="H122">
        <v>13.8</v>
      </c>
    </row>
    <row r="123" spans="1:11">
      <c r="A123">
        <v>120</v>
      </c>
      <c r="B123">
        <v>0.15</v>
      </c>
      <c r="C123">
        <v>2.5499999999999998</v>
      </c>
      <c r="D123">
        <v>4.7E-2</v>
      </c>
      <c r="E123">
        <v>1</v>
      </c>
      <c r="F123">
        <f t="shared" ref="F123" si="7">100-B123-C123-D123-E123</f>
        <v>96.253</v>
      </c>
      <c r="G123">
        <v>1055</v>
      </c>
      <c r="H123">
        <v>14.2</v>
      </c>
    </row>
    <row r="124" spans="1:11">
      <c r="A124">
        <v>121</v>
      </c>
      <c r="G124">
        <v>968</v>
      </c>
      <c r="H124">
        <v>16.3</v>
      </c>
    </row>
    <row r="125" spans="1:11">
      <c r="A125">
        <v>122</v>
      </c>
      <c r="G125">
        <v>998</v>
      </c>
      <c r="H125">
        <v>15.7</v>
      </c>
    </row>
    <row r="126" spans="1:11">
      <c r="A126">
        <v>123</v>
      </c>
      <c r="G126">
        <v>960</v>
      </c>
      <c r="H126">
        <v>15.4</v>
      </c>
    </row>
    <row r="127" spans="1:11">
      <c r="A127">
        <v>124</v>
      </c>
      <c r="G127">
        <v>1004</v>
      </c>
      <c r="H127">
        <v>15.3</v>
      </c>
    </row>
    <row r="128" spans="1:11">
      <c r="A128">
        <v>125</v>
      </c>
      <c r="B128">
        <v>0.32</v>
      </c>
      <c r="C128">
        <v>1.42</v>
      </c>
      <c r="D128">
        <v>0</v>
      </c>
      <c r="E128">
        <v>1.56</v>
      </c>
      <c r="F128">
        <f t="shared" ref="F128" si="8">100-B128-C128-D128-E128</f>
        <v>96.7</v>
      </c>
      <c r="G128">
        <v>1135.2657039777353</v>
      </c>
      <c r="H128">
        <v>13.54170177814864</v>
      </c>
      <c r="J128" t="s">
        <v>277</v>
      </c>
      <c r="K128" t="s">
        <v>278</v>
      </c>
    </row>
    <row r="129" spans="1:11">
      <c r="A129">
        <v>126</v>
      </c>
      <c r="G129">
        <v>1049.9454349225743</v>
      </c>
      <c r="H129">
        <v>23.244499853025481</v>
      </c>
    </row>
    <row r="130" spans="1:11">
      <c r="A130">
        <v>127</v>
      </c>
      <c r="G130">
        <v>959.13993484353614</v>
      </c>
      <c r="H130">
        <v>21.045945208129947</v>
      </c>
    </row>
    <row r="131" spans="1:11">
      <c r="A131">
        <v>128</v>
      </c>
      <c r="G131">
        <v>1256.9650684945825</v>
      </c>
      <c r="H131">
        <v>10.186037362101064</v>
      </c>
    </row>
    <row r="132" spans="1:11">
      <c r="A132">
        <v>129</v>
      </c>
      <c r="G132">
        <v>1071.3785445145002</v>
      </c>
      <c r="H132">
        <v>19.005556582036263</v>
      </c>
    </row>
    <row r="133" spans="1:11">
      <c r="A133">
        <v>130</v>
      </c>
      <c r="G133">
        <v>1019.81410390066</v>
      </c>
      <c r="H133">
        <v>18.649074902171179</v>
      </c>
    </row>
    <row r="134" spans="1:11">
      <c r="A134">
        <v>131</v>
      </c>
      <c r="G134">
        <v>1204.6414219262817</v>
      </c>
      <c r="H134">
        <v>10.73834717279334</v>
      </c>
    </row>
    <row r="135" spans="1:11">
      <c r="A135">
        <v>132</v>
      </c>
      <c r="G135">
        <v>1285.1351168058154</v>
      </c>
      <c r="H135">
        <v>8.0042076392600414</v>
      </c>
    </row>
    <row r="136" spans="1:11">
      <c r="A136">
        <v>133</v>
      </c>
      <c r="G136">
        <v>1415.2956614141217</v>
      </c>
      <c r="H136">
        <v>7.6806805496219877</v>
      </c>
    </row>
    <row r="137" spans="1:11">
      <c r="A137">
        <v>134</v>
      </c>
      <c r="B137">
        <v>0.32</v>
      </c>
      <c r="C137">
        <v>2.65</v>
      </c>
      <c r="D137">
        <v>0</v>
      </c>
      <c r="E137">
        <v>0.95</v>
      </c>
      <c r="F137">
        <f>100-B137-C137-D137-E137</f>
        <v>96.08</v>
      </c>
      <c r="G137">
        <v>961.9528608501538</v>
      </c>
      <c r="H137">
        <v>26.617431016687988</v>
      </c>
    </row>
    <row r="138" spans="1:11">
      <c r="A138">
        <v>135</v>
      </c>
      <c r="G138">
        <v>1076.2386562356244</v>
      </c>
      <c r="H138">
        <v>30.082671895172417</v>
      </c>
    </row>
    <row r="139" spans="1:11">
      <c r="A139">
        <v>136</v>
      </c>
      <c r="G139">
        <v>968.18375667562373</v>
      </c>
      <c r="H139">
        <v>21.774404070590837</v>
      </c>
    </row>
    <row r="140" spans="1:11">
      <c r="A140">
        <v>137</v>
      </c>
      <c r="B140">
        <v>0.11</v>
      </c>
      <c r="C140">
        <v>1.55</v>
      </c>
      <c r="D140">
        <v>1.5</v>
      </c>
      <c r="E140">
        <v>5.8999999999999997E-2</v>
      </c>
      <c r="F140">
        <f>100-B140-C140-D140-E140</f>
        <v>96.781000000000006</v>
      </c>
      <c r="G140">
        <v>540.94759059275179</v>
      </c>
      <c r="H140">
        <v>22.507246824749917</v>
      </c>
      <c r="J140" t="s">
        <v>304</v>
      </c>
      <c r="K140" t="s">
        <v>305</v>
      </c>
    </row>
    <row r="141" spans="1:11">
      <c r="A141">
        <v>138</v>
      </c>
      <c r="G141">
        <v>545.06070527183749</v>
      </c>
      <c r="H141">
        <v>23.986189696606175</v>
      </c>
    </row>
    <row r="142" spans="1:11">
      <c r="A142">
        <v>139</v>
      </c>
      <c r="G142">
        <v>552.65307500336485</v>
      </c>
      <c r="H142">
        <v>25.232271619186442</v>
      </c>
    </row>
    <row r="143" spans="1:11">
      <c r="A143">
        <v>140</v>
      </c>
      <c r="G143">
        <v>564.96735477636309</v>
      </c>
      <c r="H143">
        <v>22.998257178075264</v>
      </c>
    </row>
    <row r="144" spans="1:11">
      <c r="A144">
        <v>141</v>
      </c>
      <c r="G144">
        <v>566.26513602159139</v>
      </c>
      <c r="H144">
        <v>24.358706761906191</v>
      </c>
    </row>
    <row r="145" spans="1:8">
      <c r="A145">
        <v>142</v>
      </c>
      <c r="G145">
        <v>578.72307049475091</v>
      </c>
      <c r="H145">
        <v>24.982057373598398</v>
      </c>
    </row>
    <row r="146" spans="1:8">
      <c r="A146">
        <v>143</v>
      </c>
      <c r="G146">
        <v>575.3526977896388</v>
      </c>
      <c r="H146">
        <v>23.367805995674317</v>
      </c>
    </row>
    <row r="147" spans="1:8">
      <c r="A147">
        <v>144</v>
      </c>
      <c r="G147">
        <v>586.98568340915608</v>
      </c>
      <c r="H147">
        <v>22.507246824749917</v>
      </c>
    </row>
    <row r="148" spans="1:8">
      <c r="A148">
        <v>145</v>
      </c>
      <c r="G148">
        <v>583.0674304317256</v>
      </c>
      <c r="H148">
        <v>21.409628295623296</v>
      </c>
    </row>
    <row r="149" spans="1:8">
      <c r="A149">
        <v>146</v>
      </c>
      <c r="G149">
        <v>594.37416509085676</v>
      </c>
      <c r="H149">
        <v>23.491235506139454</v>
      </c>
    </row>
    <row r="150" spans="1:8">
      <c r="A150">
        <v>147</v>
      </c>
      <c r="G150">
        <v>598.3102903201833</v>
      </c>
      <c r="H150">
        <v>23.614788507850349</v>
      </c>
    </row>
    <row r="151" spans="1:8">
      <c r="A151">
        <v>148</v>
      </c>
      <c r="G151">
        <v>604.90486870654161</v>
      </c>
      <c r="H151">
        <v>23.738465124360065</v>
      </c>
    </row>
    <row r="152" spans="1:8">
      <c r="A152">
        <v>149</v>
      </c>
      <c r="G152">
        <v>616.53037748492432</v>
      </c>
      <c r="H152">
        <v>23.367805995674317</v>
      </c>
    </row>
    <row r="153" spans="1:8">
      <c r="A153">
        <v>150</v>
      </c>
      <c r="B153">
        <v>0.11</v>
      </c>
      <c r="C153">
        <v>1.53</v>
      </c>
      <c r="D153">
        <v>4.2999999999999997E-2</v>
      </c>
      <c r="E153">
        <v>1.5</v>
      </c>
      <c r="F153">
        <f t="shared" ref="F153" si="9">100-B153-C153-D153-E153</f>
        <v>96.816999999999993</v>
      </c>
      <c r="G153">
        <v>679.26920091734485</v>
      </c>
      <c r="H153">
        <v>23.986189696606175</v>
      </c>
    </row>
    <row r="154" spans="1:8">
      <c r="A154">
        <v>151</v>
      </c>
      <c r="G154">
        <v>673.28622062440297</v>
      </c>
      <c r="H154">
        <v>22.384800811135808</v>
      </c>
    </row>
    <row r="155" spans="1:8">
      <c r="A155">
        <v>152</v>
      </c>
      <c r="G155">
        <v>678.38314659070875</v>
      </c>
      <c r="H155">
        <v>22.629815345621051</v>
      </c>
    </row>
    <row r="156" spans="1:8">
      <c r="A156">
        <v>153</v>
      </c>
      <c r="G156">
        <v>682.26712749455965</v>
      </c>
      <c r="H156">
        <v>22.752506496317771</v>
      </c>
    </row>
    <row r="157" spans="1:8">
      <c r="A157">
        <v>154</v>
      </c>
      <c r="G157">
        <v>695.99004683715384</v>
      </c>
      <c r="H157">
        <v>22.875320399531198</v>
      </c>
    </row>
    <row r="158" spans="1:8">
      <c r="A158">
        <v>155</v>
      </c>
      <c r="G158">
        <v>703.42500865292834</v>
      </c>
      <c r="H158">
        <v>23.367805995674317</v>
      </c>
    </row>
    <row r="159" spans="1:8">
      <c r="A159">
        <v>156</v>
      </c>
      <c r="G159">
        <v>684.67449645373563</v>
      </c>
      <c r="H159">
        <v>22.262477182332717</v>
      </c>
    </row>
    <row r="160" spans="1:8">
      <c r="A160">
        <v>157</v>
      </c>
      <c r="G160">
        <v>683.09216701757305</v>
      </c>
      <c r="H160">
        <v>21.652690533431617</v>
      </c>
    </row>
    <row r="161" spans="1:8">
      <c r="A161">
        <v>158</v>
      </c>
      <c r="G161">
        <v>684.67457810069982</v>
      </c>
      <c r="H161">
        <v>21.167051696490049</v>
      </c>
    </row>
    <row r="162" spans="1:8">
      <c r="A162">
        <v>159</v>
      </c>
      <c r="G162">
        <v>680.44029394983488</v>
      </c>
      <c r="H162">
        <v>20.20158230963014</v>
      </c>
    </row>
    <row r="163" spans="1:8">
      <c r="A163">
        <v>160</v>
      </c>
      <c r="G163">
        <v>696.74790268495735</v>
      </c>
      <c r="H163">
        <v>20.804095248290189</v>
      </c>
    </row>
    <row r="164" spans="1:8">
      <c r="A164">
        <v>161</v>
      </c>
      <c r="G164">
        <v>696.05150304012807</v>
      </c>
      <c r="H164">
        <v>20.924959765725148</v>
      </c>
    </row>
    <row r="165" spans="1:8">
      <c r="A165">
        <v>162</v>
      </c>
      <c r="G165">
        <v>719.4594969406993</v>
      </c>
      <c r="H165">
        <v>20.562728504992478</v>
      </c>
    </row>
    <row r="166" spans="1:8">
      <c r="A166">
        <v>163</v>
      </c>
      <c r="G166">
        <v>700.65674369471571</v>
      </c>
      <c r="H166">
        <v>19.602074416788362</v>
      </c>
    </row>
    <row r="167" spans="1:8">
      <c r="A167">
        <v>164</v>
      </c>
      <c r="G167">
        <v>700.47520635134231</v>
      </c>
      <c r="H167">
        <v>19.961419387986833</v>
      </c>
    </row>
    <row r="168" spans="1:8">
      <c r="A168">
        <v>165</v>
      </c>
      <c r="B168">
        <v>0.115</v>
      </c>
      <c r="C168">
        <v>1.51</v>
      </c>
      <c r="D168">
        <v>0.38</v>
      </c>
      <c r="E168">
        <v>0.49</v>
      </c>
      <c r="F168">
        <f>100-B168-C168-D168-E168</f>
        <v>97.50500000000001</v>
      </c>
      <c r="G168">
        <v>626.03293276959857</v>
      </c>
      <c r="H168">
        <v>19.482532123480077</v>
      </c>
    </row>
    <row r="169" spans="1:8">
      <c r="A169">
        <v>166</v>
      </c>
      <c r="G169">
        <v>631.89152973401985</v>
      </c>
      <c r="H169">
        <v>19.482532123480077</v>
      </c>
    </row>
    <row r="170" spans="1:8">
      <c r="A170">
        <v>167</v>
      </c>
      <c r="G170">
        <v>641.96754364003039</v>
      </c>
      <c r="H170">
        <v>20.442226037762978</v>
      </c>
    </row>
    <row r="171" spans="1:8">
      <c r="A171">
        <v>168</v>
      </c>
      <c r="G171">
        <v>667.75578729662027</v>
      </c>
      <c r="H171">
        <v>21.167051696490049</v>
      </c>
    </row>
    <row r="172" spans="1:8">
      <c r="A172">
        <v>169</v>
      </c>
      <c r="G172">
        <v>693.43032764968211</v>
      </c>
      <c r="H172">
        <v>19.363109312713878</v>
      </c>
    </row>
    <row r="173" spans="1:8">
      <c r="A173">
        <v>170</v>
      </c>
      <c r="G173">
        <v>711.71049254457967</v>
      </c>
      <c r="H173">
        <v>17.351087099181029</v>
      </c>
    </row>
    <row r="174" spans="1:8">
      <c r="A174">
        <v>171</v>
      </c>
      <c r="B174">
        <v>0.128</v>
      </c>
      <c r="C174">
        <v>1.56</v>
      </c>
      <c r="D174">
        <v>0.51500000000000001</v>
      </c>
      <c r="E174">
        <v>5.0000000000000001E-3</v>
      </c>
      <c r="F174">
        <f>100-B174-C174-D174-E174</f>
        <v>97.792000000000002</v>
      </c>
      <c r="G174">
        <v>534.25782294579574</v>
      </c>
      <c r="H174">
        <v>17.939311871139061</v>
      </c>
    </row>
    <row r="175" spans="1:8">
      <c r="A175">
        <v>172</v>
      </c>
      <c r="G175">
        <v>548.88832967760732</v>
      </c>
      <c r="H175">
        <v>18.530485132036546</v>
      </c>
    </row>
    <row r="176" spans="1:8">
      <c r="A176">
        <v>173</v>
      </c>
      <c r="G176">
        <v>576.08586481035434</v>
      </c>
      <c r="H176">
        <v>19.721736312181015</v>
      </c>
    </row>
    <row r="177" spans="1:8">
      <c r="A177">
        <v>174</v>
      </c>
      <c r="G177">
        <v>590.1435392091704</v>
      </c>
      <c r="H177">
        <v>18.530485132036546</v>
      </c>
    </row>
    <row r="178" spans="1:8">
      <c r="A178">
        <v>175</v>
      </c>
      <c r="G178">
        <v>595.4105764392209</v>
      </c>
      <c r="H178">
        <v>20.924959765725148</v>
      </c>
    </row>
    <row r="179" spans="1:8">
      <c r="A179">
        <v>176</v>
      </c>
      <c r="G179">
        <v>624.39633076298367</v>
      </c>
      <c r="H179">
        <v>18.530485132036546</v>
      </c>
    </row>
    <row r="250" spans="11:11">
      <c r="K250" s="10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6"/>
  <sheetViews>
    <sheetView zoomScale="88" zoomScaleNormal="85" workbookViewId="0">
      <selection activeCell="J29" sqref="J29"/>
    </sheetView>
  </sheetViews>
  <sheetFormatPr baseColWidth="10" defaultColWidth="8.83203125" defaultRowHeight="15"/>
  <cols>
    <col min="1" max="1" width="10" customWidth="1"/>
    <col min="7" max="7" width="10.5" customWidth="1"/>
    <col min="8" max="8" width="23" bestFit="1" customWidth="1"/>
    <col min="9" max="9" width="19" customWidth="1"/>
    <col min="10" max="10" width="26.83203125" customWidth="1"/>
    <col min="11" max="11" width="133.6640625" bestFit="1" customWidth="1"/>
  </cols>
  <sheetData>
    <row r="1" spans="1:11" s="2" customFormat="1">
      <c r="A1" s="2" t="s">
        <v>147</v>
      </c>
      <c r="G1" s="3"/>
      <c r="H1" s="4"/>
      <c r="I1" s="4"/>
      <c r="K1" s="5"/>
    </row>
    <row r="2" spans="1:11" s="2" customFormat="1">
      <c r="A2" s="2" t="s">
        <v>6</v>
      </c>
      <c r="C2" s="2" t="s">
        <v>2</v>
      </c>
      <c r="G2" s="3"/>
      <c r="H2" s="4" t="s">
        <v>9</v>
      </c>
      <c r="I2" s="4"/>
      <c r="J2" s="2" t="s">
        <v>13</v>
      </c>
      <c r="K2" s="5" t="s">
        <v>10</v>
      </c>
    </row>
    <row r="3" spans="1:11" s="6" customFormat="1">
      <c r="B3" s="6" t="s">
        <v>0</v>
      </c>
      <c r="C3" s="6" t="s">
        <v>1</v>
      </c>
      <c r="D3" s="6" t="s">
        <v>3</v>
      </c>
      <c r="E3" s="6" t="s">
        <v>4</v>
      </c>
      <c r="F3" s="6" t="s">
        <v>5</v>
      </c>
      <c r="G3" s="7" t="s">
        <v>16</v>
      </c>
      <c r="H3" s="8" t="s">
        <v>7</v>
      </c>
      <c r="I3" s="8" t="s">
        <v>8</v>
      </c>
      <c r="K3" s="9"/>
    </row>
    <row r="4" spans="1:11">
      <c r="A4">
        <v>1</v>
      </c>
      <c r="B4">
        <v>0.2</v>
      </c>
      <c r="C4">
        <v>3</v>
      </c>
      <c r="D4">
        <v>0.06</v>
      </c>
      <c r="E4">
        <v>1.6</v>
      </c>
      <c r="F4">
        <f>100-B4-C4-D4-E4</f>
        <v>95.14</v>
      </c>
      <c r="G4">
        <v>1187</v>
      </c>
      <c r="H4">
        <v>13</v>
      </c>
      <c r="I4">
        <v>14</v>
      </c>
      <c r="J4" t="s">
        <v>279</v>
      </c>
      <c r="K4" t="s">
        <v>280</v>
      </c>
    </row>
    <row r="5" spans="1:11">
      <c r="A5">
        <v>2</v>
      </c>
      <c r="G5">
        <v>1069</v>
      </c>
      <c r="H5">
        <v>16</v>
      </c>
      <c r="I5">
        <v>18</v>
      </c>
    </row>
    <row r="6" spans="1:11">
      <c r="A6">
        <v>3</v>
      </c>
      <c r="G6">
        <v>985</v>
      </c>
      <c r="H6">
        <v>17</v>
      </c>
      <c r="I6">
        <v>20</v>
      </c>
    </row>
    <row r="7" spans="1:11">
      <c r="A7">
        <v>4</v>
      </c>
      <c r="G7">
        <v>1083</v>
      </c>
      <c r="H7">
        <v>13</v>
      </c>
      <c r="I7">
        <v>14</v>
      </c>
    </row>
    <row r="8" spans="1:11">
      <c r="A8">
        <v>5</v>
      </c>
      <c r="G8">
        <v>1029</v>
      </c>
      <c r="H8">
        <v>13</v>
      </c>
      <c r="I8">
        <v>16</v>
      </c>
    </row>
    <row r="9" spans="1:11">
      <c r="A9">
        <v>6</v>
      </c>
      <c r="G9">
        <v>1033</v>
      </c>
      <c r="H9">
        <v>15</v>
      </c>
      <c r="I9">
        <v>17</v>
      </c>
    </row>
    <row r="10" spans="1:11">
      <c r="A10">
        <v>7</v>
      </c>
      <c r="G10">
        <v>1087</v>
      </c>
      <c r="H10">
        <v>14</v>
      </c>
      <c r="I10">
        <v>17</v>
      </c>
    </row>
    <row r="11" spans="1:11">
      <c r="A11">
        <v>8</v>
      </c>
      <c r="G11">
        <v>1174</v>
      </c>
      <c r="H11">
        <v>14</v>
      </c>
      <c r="I11">
        <v>16</v>
      </c>
    </row>
    <row r="12" spans="1:11">
      <c r="A12">
        <v>9</v>
      </c>
      <c r="G12">
        <v>1011</v>
      </c>
      <c r="H12">
        <v>15</v>
      </c>
      <c r="I12">
        <v>17</v>
      </c>
    </row>
    <row r="13" spans="1:11">
      <c r="A13">
        <v>10</v>
      </c>
      <c r="G13">
        <v>1047</v>
      </c>
      <c r="H13">
        <v>16</v>
      </c>
      <c r="I13">
        <v>19</v>
      </c>
    </row>
    <row r="14" spans="1:11">
      <c r="A14">
        <v>11</v>
      </c>
      <c r="G14">
        <v>1107</v>
      </c>
      <c r="H14">
        <v>15</v>
      </c>
      <c r="I14">
        <v>17</v>
      </c>
    </row>
    <row r="15" spans="1:11">
      <c r="A15">
        <v>12</v>
      </c>
      <c r="G15">
        <v>1136</v>
      </c>
      <c r="H15">
        <v>12</v>
      </c>
      <c r="I15">
        <v>14</v>
      </c>
    </row>
    <row r="16" spans="1:11">
      <c r="A16">
        <v>13</v>
      </c>
      <c r="G16">
        <v>1432</v>
      </c>
      <c r="H16">
        <v>7</v>
      </c>
      <c r="I16">
        <v>10</v>
      </c>
    </row>
    <row r="17" spans="1:9">
      <c r="A17">
        <v>14</v>
      </c>
      <c r="G17">
        <v>1410</v>
      </c>
      <c r="H17">
        <v>5</v>
      </c>
      <c r="I17">
        <v>9</v>
      </c>
    </row>
    <row r="18" spans="1:9">
      <c r="A18">
        <v>15</v>
      </c>
      <c r="G18">
        <v>1371</v>
      </c>
      <c r="H18">
        <v>6</v>
      </c>
      <c r="I18">
        <v>12</v>
      </c>
    </row>
    <row r="19" spans="1:9">
      <c r="A19">
        <v>16</v>
      </c>
      <c r="G19">
        <v>1398</v>
      </c>
      <c r="H19">
        <v>5</v>
      </c>
      <c r="I19">
        <v>10</v>
      </c>
    </row>
    <row r="20" spans="1:9">
      <c r="A20">
        <v>17</v>
      </c>
      <c r="G20">
        <v>1445</v>
      </c>
      <c r="H20">
        <v>9</v>
      </c>
      <c r="I20">
        <v>13</v>
      </c>
    </row>
    <row r="21" spans="1:9">
      <c r="A21">
        <v>18</v>
      </c>
      <c r="G21">
        <v>1382</v>
      </c>
      <c r="H21">
        <v>7</v>
      </c>
      <c r="I21">
        <v>11</v>
      </c>
    </row>
    <row r="22" spans="1:9">
      <c r="A22">
        <v>19</v>
      </c>
      <c r="G22">
        <v>1362</v>
      </c>
      <c r="H22">
        <v>8</v>
      </c>
      <c r="I22">
        <v>13</v>
      </c>
    </row>
    <row r="23" spans="1:9">
      <c r="A23">
        <v>20</v>
      </c>
      <c r="G23">
        <v>1356</v>
      </c>
      <c r="H23">
        <v>8</v>
      </c>
      <c r="I23">
        <v>12</v>
      </c>
    </row>
    <row r="24" spans="1:9">
      <c r="A24">
        <v>21</v>
      </c>
      <c r="G24">
        <v>1445</v>
      </c>
      <c r="H24">
        <v>9</v>
      </c>
      <c r="I24">
        <v>12</v>
      </c>
    </row>
    <row r="25" spans="1:9">
      <c r="A25">
        <v>22</v>
      </c>
      <c r="G25">
        <v>1373</v>
      </c>
      <c r="H25">
        <v>10</v>
      </c>
      <c r="I25">
        <v>14</v>
      </c>
    </row>
    <row r="26" spans="1:9">
      <c r="A26">
        <v>23</v>
      </c>
      <c r="G26">
        <v>1318</v>
      </c>
      <c r="H26">
        <v>10</v>
      </c>
      <c r="I26">
        <v>14</v>
      </c>
    </row>
    <row r="27" spans="1:9">
      <c r="A27">
        <v>24</v>
      </c>
      <c r="G27">
        <v>1342</v>
      </c>
      <c r="H27">
        <v>10</v>
      </c>
      <c r="I27">
        <v>14</v>
      </c>
    </row>
    <row r="28" spans="1:9">
      <c r="A28">
        <v>25</v>
      </c>
      <c r="G28">
        <v>1458</v>
      </c>
      <c r="H28">
        <v>9</v>
      </c>
      <c r="I28">
        <v>12</v>
      </c>
    </row>
    <row r="29" spans="1:9">
      <c r="A29">
        <v>26</v>
      </c>
      <c r="G29">
        <v>1271</v>
      </c>
      <c r="H29">
        <v>10</v>
      </c>
      <c r="I29">
        <v>13</v>
      </c>
    </row>
    <row r="30" spans="1:9">
      <c r="A30">
        <v>27</v>
      </c>
      <c r="G30">
        <v>1228</v>
      </c>
      <c r="H30">
        <v>10</v>
      </c>
      <c r="I30">
        <v>14</v>
      </c>
    </row>
    <row r="31" spans="1:9">
      <c r="A31">
        <v>28</v>
      </c>
      <c r="G31">
        <v>1359</v>
      </c>
      <c r="H31">
        <v>11</v>
      </c>
      <c r="I31">
        <v>15</v>
      </c>
    </row>
    <row r="32" spans="1:9">
      <c r="A32">
        <v>29</v>
      </c>
      <c r="B32">
        <v>0.28999999999999998</v>
      </c>
      <c r="C32">
        <v>2.95</v>
      </c>
      <c r="D32">
        <v>0.06</v>
      </c>
      <c r="E32">
        <v>1.59</v>
      </c>
      <c r="F32">
        <f>100-B32-C32-D32-E32</f>
        <v>95.109999999999985</v>
      </c>
      <c r="G32">
        <v>873</v>
      </c>
      <c r="H32">
        <v>12</v>
      </c>
      <c r="I32">
        <v>16</v>
      </c>
    </row>
    <row r="33" spans="1:9">
      <c r="A33">
        <v>30</v>
      </c>
      <c r="G33">
        <v>908</v>
      </c>
      <c r="H33">
        <v>11</v>
      </c>
      <c r="I33">
        <v>14</v>
      </c>
    </row>
    <row r="34" spans="1:9">
      <c r="A34">
        <v>31</v>
      </c>
      <c r="G34">
        <v>865</v>
      </c>
      <c r="H34">
        <v>12</v>
      </c>
      <c r="I34">
        <v>18</v>
      </c>
    </row>
    <row r="35" spans="1:9">
      <c r="A35">
        <v>32</v>
      </c>
      <c r="G35">
        <v>910</v>
      </c>
      <c r="H35">
        <v>12</v>
      </c>
      <c r="I35">
        <v>16</v>
      </c>
    </row>
    <row r="36" spans="1:9">
      <c r="A36">
        <v>33</v>
      </c>
      <c r="G36">
        <v>880</v>
      </c>
      <c r="H36">
        <v>12</v>
      </c>
      <c r="I36">
        <v>17</v>
      </c>
    </row>
    <row r="37" spans="1:9">
      <c r="A37">
        <v>34</v>
      </c>
      <c r="G37">
        <v>877</v>
      </c>
      <c r="H37">
        <v>12</v>
      </c>
      <c r="I37">
        <v>17</v>
      </c>
    </row>
    <row r="38" spans="1:9">
      <c r="A38">
        <v>35</v>
      </c>
      <c r="G38">
        <v>874</v>
      </c>
      <c r="H38">
        <v>12</v>
      </c>
      <c r="I38">
        <v>17</v>
      </c>
    </row>
    <row r="39" spans="1:9">
      <c r="A39">
        <v>36</v>
      </c>
      <c r="G39">
        <v>883</v>
      </c>
      <c r="H39">
        <v>12</v>
      </c>
      <c r="I39">
        <v>17</v>
      </c>
    </row>
    <row r="40" spans="1:9">
      <c r="A40">
        <v>37</v>
      </c>
      <c r="G40">
        <v>881</v>
      </c>
      <c r="H40">
        <v>12</v>
      </c>
      <c r="I40">
        <v>17</v>
      </c>
    </row>
    <row r="41" spans="1:9">
      <c r="A41">
        <v>38</v>
      </c>
      <c r="G41">
        <v>888</v>
      </c>
      <c r="H41">
        <v>12</v>
      </c>
      <c r="I41">
        <v>17</v>
      </c>
    </row>
    <row r="42" spans="1:9">
      <c r="A42">
        <v>39</v>
      </c>
      <c r="G42">
        <v>891</v>
      </c>
      <c r="H42">
        <v>12</v>
      </c>
      <c r="I42">
        <v>17</v>
      </c>
    </row>
    <row r="43" spans="1:9">
      <c r="A43">
        <v>40</v>
      </c>
      <c r="G43">
        <v>874</v>
      </c>
      <c r="H43">
        <v>13</v>
      </c>
      <c r="I43">
        <v>18</v>
      </c>
    </row>
    <row r="44" spans="1:9">
      <c r="A44">
        <v>41</v>
      </c>
      <c r="G44">
        <v>1648</v>
      </c>
      <c r="H44">
        <v>9</v>
      </c>
      <c r="I44">
        <v>12</v>
      </c>
    </row>
    <row r="45" spans="1:9">
      <c r="A45">
        <v>42</v>
      </c>
      <c r="G45">
        <v>1548</v>
      </c>
      <c r="H45">
        <v>11</v>
      </c>
      <c r="I45">
        <v>14</v>
      </c>
    </row>
    <row r="46" spans="1:9">
      <c r="A46">
        <v>43</v>
      </c>
      <c r="G46">
        <v>1492</v>
      </c>
      <c r="H46">
        <v>15</v>
      </c>
      <c r="I46">
        <v>17</v>
      </c>
    </row>
    <row r="47" spans="1:9">
      <c r="A47">
        <v>44</v>
      </c>
      <c r="G47">
        <v>1501</v>
      </c>
      <c r="H47">
        <v>13</v>
      </c>
      <c r="I47">
        <v>16</v>
      </c>
    </row>
    <row r="48" spans="1:9">
      <c r="A48">
        <v>45</v>
      </c>
      <c r="G48">
        <v>1632</v>
      </c>
      <c r="H48">
        <v>10</v>
      </c>
      <c r="I48">
        <v>13</v>
      </c>
    </row>
    <row r="49" spans="1:9">
      <c r="A49">
        <v>46</v>
      </c>
      <c r="G49">
        <v>1535</v>
      </c>
      <c r="H49">
        <v>11</v>
      </c>
      <c r="I49">
        <v>15</v>
      </c>
    </row>
    <row r="50" spans="1:9">
      <c r="A50">
        <v>47</v>
      </c>
      <c r="G50">
        <v>1495</v>
      </c>
      <c r="H50">
        <v>15</v>
      </c>
      <c r="I50">
        <v>17</v>
      </c>
    </row>
    <row r="51" spans="1:9">
      <c r="A51">
        <v>48</v>
      </c>
      <c r="G51">
        <v>1520</v>
      </c>
      <c r="H51">
        <v>14</v>
      </c>
      <c r="I51">
        <v>17</v>
      </c>
    </row>
    <row r="52" spans="1:9">
      <c r="A52">
        <v>49</v>
      </c>
      <c r="G52">
        <v>1709</v>
      </c>
      <c r="H52">
        <v>8</v>
      </c>
      <c r="I52">
        <v>11</v>
      </c>
    </row>
    <row r="53" spans="1:9">
      <c r="A53">
        <v>50</v>
      </c>
      <c r="G53">
        <v>1558</v>
      </c>
      <c r="H53">
        <v>12</v>
      </c>
      <c r="I53">
        <v>15</v>
      </c>
    </row>
    <row r="54" spans="1:9">
      <c r="A54">
        <v>51</v>
      </c>
      <c r="G54">
        <v>1489</v>
      </c>
      <c r="H54">
        <v>15</v>
      </c>
      <c r="I54">
        <v>17</v>
      </c>
    </row>
    <row r="55" spans="1:9">
      <c r="A55">
        <v>52</v>
      </c>
      <c r="G55">
        <v>1419</v>
      </c>
      <c r="H55">
        <v>4</v>
      </c>
      <c r="I55">
        <v>4</v>
      </c>
    </row>
    <row r="56" spans="1:9">
      <c r="A56">
        <v>53</v>
      </c>
      <c r="G56">
        <v>1571</v>
      </c>
      <c r="H56">
        <v>2</v>
      </c>
      <c r="I56">
        <v>2</v>
      </c>
    </row>
    <row r="57" spans="1:9">
      <c r="A57">
        <v>54</v>
      </c>
      <c r="G57">
        <v>1452</v>
      </c>
      <c r="H57">
        <v>3</v>
      </c>
      <c r="I57">
        <v>3</v>
      </c>
    </row>
    <row r="58" spans="1:9">
      <c r="A58">
        <v>55</v>
      </c>
      <c r="G58">
        <v>1543</v>
      </c>
      <c r="H58">
        <v>10</v>
      </c>
      <c r="I58">
        <v>12</v>
      </c>
    </row>
    <row r="59" spans="1:9">
      <c r="A59">
        <v>56</v>
      </c>
      <c r="G59">
        <v>1645</v>
      </c>
      <c r="H59">
        <v>11</v>
      </c>
      <c r="I59">
        <v>13</v>
      </c>
    </row>
    <row r="60" spans="1:9">
      <c r="A60">
        <v>57</v>
      </c>
      <c r="B60">
        <v>0.28000000000000003</v>
      </c>
      <c r="C60">
        <v>4.95</v>
      </c>
      <c r="D60">
        <v>0.06</v>
      </c>
      <c r="E60">
        <v>1.64</v>
      </c>
      <c r="F60">
        <f>100-B60-C60-D60-E60</f>
        <v>93.07</v>
      </c>
      <c r="G60">
        <v>1132</v>
      </c>
      <c r="H60">
        <v>9</v>
      </c>
      <c r="I60">
        <v>13</v>
      </c>
    </row>
    <row r="61" spans="1:9">
      <c r="A61">
        <v>58</v>
      </c>
      <c r="G61">
        <v>1165</v>
      </c>
      <c r="H61">
        <v>10</v>
      </c>
      <c r="I61">
        <v>13</v>
      </c>
    </row>
    <row r="62" spans="1:9">
      <c r="A62">
        <v>59</v>
      </c>
      <c r="G62">
        <v>1151</v>
      </c>
      <c r="H62">
        <v>4</v>
      </c>
      <c r="I62">
        <v>7</v>
      </c>
    </row>
    <row r="63" spans="1:9">
      <c r="A63">
        <v>60</v>
      </c>
      <c r="G63">
        <v>1153</v>
      </c>
      <c r="H63">
        <v>9</v>
      </c>
      <c r="I63">
        <v>13</v>
      </c>
    </row>
    <row r="64" spans="1:9">
      <c r="A64">
        <v>61</v>
      </c>
      <c r="G64">
        <v>1118</v>
      </c>
      <c r="H64">
        <v>9</v>
      </c>
      <c r="I64">
        <v>12</v>
      </c>
    </row>
    <row r="65" spans="1:9">
      <c r="A65">
        <v>62</v>
      </c>
      <c r="G65">
        <v>1135</v>
      </c>
      <c r="H65">
        <v>9</v>
      </c>
      <c r="I65">
        <v>13</v>
      </c>
    </row>
    <row r="66" spans="1:9">
      <c r="A66">
        <v>63</v>
      </c>
      <c r="G66">
        <v>1113</v>
      </c>
      <c r="H66">
        <v>11</v>
      </c>
      <c r="I66">
        <v>15</v>
      </c>
    </row>
    <row r="67" spans="1:9">
      <c r="A67">
        <v>64</v>
      </c>
      <c r="G67">
        <v>1174</v>
      </c>
      <c r="H67">
        <v>6</v>
      </c>
      <c r="I67">
        <v>8</v>
      </c>
    </row>
    <row r="68" spans="1:9">
      <c r="A68">
        <v>65</v>
      </c>
      <c r="G68">
        <v>1145</v>
      </c>
      <c r="H68">
        <v>8</v>
      </c>
      <c r="I68">
        <v>12</v>
      </c>
    </row>
    <row r="69" spans="1:9">
      <c r="A69">
        <v>66</v>
      </c>
      <c r="G69">
        <v>1150</v>
      </c>
      <c r="H69">
        <v>8</v>
      </c>
      <c r="I69">
        <v>13</v>
      </c>
    </row>
    <row r="70" spans="1:9">
      <c r="A70">
        <v>67</v>
      </c>
      <c r="G70">
        <v>1124</v>
      </c>
      <c r="H70">
        <v>10</v>
      </c>
      <c r="I70">
        <v>13</v>
      </c>
    </row>
    <row r="71" spans="1:9">
      <c r="A71">
        <v>68</v>
      </c>
      <c r="G71">
        <v>1177</v>
      </c>
      <c r="H71">
        <v>9</v>
      </c>
      <c r="I71">
        <v>12</v>
      </c>
    </row>
    <row r="72" spans="1:9">
      <c r="A72">
        <v>69</v>
      </c>
      <c r="G72">
        <v>1244</v>
      </c>
      <c r="H72">
        <v>0.9</v>
      </c>
      <c r="I72">
        <v>0.9</v>
      </c>
    </row>
    <row r="73" spans="1:9">
      <c r="A73">
        <v>70</v>
      </c>
      <c r="G73">
        <v>958</v>
      </c>
      <c r="H73">
        <v>0.6</v>
      </c>
      <c r="I73">
        <v>0.6</v>
      </c>
    </row>
    <row r="74" spans="1:9">
      <c r="A74">
        <v>71</v>
      </c>
      <c r="G74">
        <v>1244</v>
      </c>
      <c r="H74">
        <v>0.6</v>
      </c>
      <c r="I74">
        <v>0.6</v>
      </c>
    </row>
    <row r="75" spans="1:9">
      <c r="A75">
        <v>72</v>
      </c>
      <c r="G75">
        <v>1195</v>
      </c>
      <c r="H75">
        <v>0.8</v>
      </c>
      <c r="I75">
        <v>0.8</v>
      </c>
    </row>
    <row r="76" spans="1:9">
      <c r="A76">
        <v>73</v>
      </c>
      <c r="G76">
        <v>690</v>
      </c>
      <c r="H76">
        <v>0.4</v>
      </c>
      <c r="I76">
        <v>0.4</v>
      </c>
    </row>
    <row r="77" spans="1:9">
      <c r="A77">
        <v>74</v>
      </c>
      <c r="G77">
        <v>971</v>
      </c>
      <c r="H77">
        <v>0.6</v>
      </c>
      <c r="I77">
        <v>0.6</v>
      </c>
    </row>
    <row r="78" spans="1:9">
      <c r="A78">
        <v>75</v>
      </c>
      <c r="G78">
        <v>837</v>
      </c>
      <c r="H78">
        <v>0.5</v>
      </c>
      <c r="I78">
        <v>0.5</v>
      </c>
    </row>
    <row r="79" spans="1:9">
      <c r="A79">
        <v>76</v>
      </c>
      <c r="G79">
        <v>1276</v>
      </c>
      <c r="H79">
        <v>0.8</v>
      </c>
      <c r="I79">
        <v>0.8</v>
      </c>
    </row>
    <row r="80" spans="1:9">
      <c r="A80">
        <v>77</v>
      </c>
      <c r="G80">
        <v>1629</v>
      </c>
      <c r="H80">
        <v>9.5</v>
      </c>
      <c r="I80">
        <v>12.4</v>
      </c>
    </row>
    <row r="81" spans="1:11">
      <c r="A81">
        <v>78</v>
      </c>
      <c r="G81">
        <v>1541</v>
      </c>
      <c r="H81">
        <v>11.3</v>
      </c>
      <c r="I81">
        <v>14.3</v>
      </c>
    </row>
    <row r="82" spans="1:11">
      <c r="A82">
        <v>79</v>
      </c>
      <c r="G82">
        <v>1153</v>
      </c>
      <c r="H82">
        <v>1.2</v>
      </c>
      <c r="I82">
        <v>1.2</v>
      </c>
    </row>
    <row r="83" spans="1:11">
      <c r="A83">
        <v>80</v>
      </c>
      <c r="G83">
        <v>1362</v>
      </c>
      <c r="H83">
        <v>1</v>
      </c>
      <c r="I83">
        <v>1</v>
      </c>
    </row>
    <row r="84" spans="1:11">
      <c r="A84">
        <v>81</v>
      </c>
      <c r="B84">
        <v>0.17</v>
      </c>
      <c r="C84">
        <v>1.65</v>
      </c>
      <c r="D84">
        <v>1.1100000000000001</v>
      </c>
      <c r="E84">
        <v>0.38</v>
      </c>
      <c r="F84">
        <f>100-B84-C84-D84-E84</f>
        <v>96.69</v>
      </c>
      <c r="G84">
        <v>1044.5999999999999</v>
      </c>
      <c r="H84">
        <v>11.1</v>
      </c>
      <c r="I84">
        <v>11.1</v>
      </c>
      <c r="J84" t="s">
        <v>279</v>
      </c>
      <c r="K84" t="s">
        <v>281</v>
      </c>
    </row>
    <row r="85" spans="1:11">
      <c r="A85">
        <v>82</v>
      </c>
      <c r="G85">
        <v>988</v>
      </c>
      <c r="H85">
        <v>8.9</v>
      </c>
      <c r="I85">
        <v>11.8</v>
      </c>
      <c r="K85" t="s">
        <v>282</v>
      </c>
    </row>
    <row r="86" spans="1:11">
      <c r="A86">
        <v>83</v>
      </c>
      <c r="G86">
        <v>964.3</v>
      </c>
      <c r="H86">
        <v>14.5</v>
      </c>
      <c r="I86">
        <v>19.7</v>
      </c>
    </row>
    <row r="87" spans="1:11">
      <c r="A87">
        <v>84</v>
      </c>
      <c r="G87">
        <v>912.5</v>
      </c>
      <c r="H87">
        <v>15.2</v>
      </c>
      <c r="I87">
        <v>20.7</v>
      </c>
    </row>
    <row r="88" spans="1:11">
      <c r="A88">
        <v>85</v>
      </c>
      <c r="G88">
        <v>986.3</v>
      </c>
      <c r="H88">
        <v>10.6</v>
      </c>
      <c r="I88">
        <v>15</v>
      </c>
    </row>
    <row r="89" spans="1:11">
      <c r="A89">
        <v>86</v>
      </c>
      <c r="G89">
        <v>866.5</v>
      </c>
      <c r="H89">
        <v>14.4</v>
      </c>
      <c r="I89">
        <v>17.2</v>
      </c>
    </row>
    <row r="90" spans="1:11">
      <c r="A90">
        <v>87</v>
      </c>
      <c r="G90">
        <v>807.9</v>
      </c>
      <c r="H90">
        <v>19.5</v>
      </c>
      <c r="I90">
        <v>26.8</v>
      </c>
    </row>
    <row r="91" spans="1:11">
      <c r="A91">
        <v>88</v>
      </c>
      <c r="G91">
        <v>784.3</v>
      </c>
      <c r="H91">
        <v>19.8</v>
      </c>
      <c r="I91">
        <v>26.1</v>
      </c>
    </row>
    <row r="92" spans="1:11">
      <c r="A92">
        <v>89</v>
      </c>
      <c r="G92">
        <v>940.6</v>
      </c>
      <c r="H92">
        <v>14.7</v>
      </c>
      <c r="I92">
        <v>16.7</v>
      </c>
    </row>
    <row r="93" spans="1:11">
      <c r="A93">
        <v>90</v>
      </c>
      <c r="G93">
        <v>817.9</v>
      </c>
      <c r="H93">
        <v>20.8</v>
      </c>
      <c r="I93">
        <v>25.7</v>
      </c>
    </row>
    <row r="94" spans="1:11">
      <c r="A94">
        <v>91</v>
      </c>
      <c r="G94">
        <v>821.5</v>
      </c>
      <c r="H94">
        <v>22.1</v>
      </c>
      <c r="I94">
        <v>29</v>
      </c>
    </row>
    <row r="95" spans="1:11">
      <c r="A95">
        <v>92</v>
      </c>
      <c r="G95">
        <v>811.5</v>
      </c>
      <c r="H95">
        <v>21.1</v>
      </c>
      <c r="I95">
        <v>26.4</v>
      </c>
    </row>
    <row r="96" spans="1:11">
      <c r="A96">
        <v>93</v>
      </c>
      <c r="G96">
        <v>903</v>
      </c>
      <c r="H96">
        <v>12.5</v>
      </c>
      <c r="I96">
        <v>16.8</v>
      </c>
    </row>
    <row r="97" spans="1:11">
      <c r="A97">
        <v>94</v>
      </c>
      <c r="G97">
        <v>777</v>
      </c>
      <c r="H97">
        <v>19.100000000000001</v>
      </c>
      <c r="I97">
        <v>24.8</v>
      </c>
    </row>
    <row r="98" spans="1:11">
      <c r="A98">
        <v>95</v>
      </c>
      <c r="G98">
        <v>809</v>
      </c>
      <c r="H98">
        <v>21.8</v>
      </c>
      <c r="I98">
        <v>27.3</v>
      </c>
    </row>
    <row r="99" spans="1:11">
      <c r="A99">
        <v>96</v>
      </c>
      <c r="G99">
        <v>961</v>
      </c>
      <c r="H99">
        <v>8.8000000000000007</v>
      </c>
      <c r="I99">
        <v>11.8</v>
      </c>
    </row>
    <row r="100" spans="1:11">
      <c r="A100">
        <v>97</v>
      </c>
      <c r="G100">
        <v>868</v>
      </c>
      <c r="H100">
        <v>14.4</v>
      </c>
      <c r="I100">
        <v>17.2</v>
      </c>
    </row>
    <row r="101" spans="1:11">
      <c r="A101">
        <v>98</v>
      </c>
      <c r="G101">
        <v>818</v>
      </c>
      <c r="H101">
        <v>20.9</v>
      </c>
      <c r="I101">
        <v>25.7</v>
      </c>
    </row>
    <row r="102" spans="1:11">
      <c r="A102">
        <v>99</v>
      </c>
      <c r="G102">
        <v>1102</v>
      </c>
      <c r="H102">
        <v>6.7</v>
      </c>
      <c r="I102">
        <v>10.6</v>
      </c>
    </row>
    <row r="103" spans="1:11">
      <c r="A103">
        <v>100</v>
      </c>
      <c r="G103">
        <v>1084</v>
      </c>
      <c r="H103">
        <v>7.3</v>
      </c>
      <c r="I103">
        <v>12.1</v>
      </c>
    </row>
    <row r="104" spans="1:11">
      <c r="A104">
        <v>101</v>
      </c>
      <c r="G104">
        <v>995</v>
      </c>
      <c r="H104">
        <v>5.9</v>
      </c>
      <c r="I104">
        <v>9.6999999999999993</v>
      </c>
    </row>
    <row r="105" spans="1:11">
      <c r="A105">
        <v>102</v>
      </c>
      <c r="G105">
        <v>793</v>
      </c>
      <c r="H105">
        <v>21.5</v>
      </c>
      <c r="I105">
        <v>27</v>
      </c>
    </row>
    <row r="106" spans="1:11">
      <c r="A106">
        <v>103</v>
      </c>
      <c r="G106">
        <v>772</v>
      </c>
      <c r="H106">
        <v>22.6</v>
      </c>
      <c r="I106">
        <v>28.2</v>
      </c>
    </row>
    <row r="107" spans="1:11">
      <c r="A107">
        <v>104</v>
      </c>
      <c r="B107">
        <v>0.19</v>
      </c>
      <c r="C107">
        <v>1.59</v>
      </c>
      <c r="D107">
        <v>3.5999999999999997E-2</v>
      </c>
      <c r="E107">
        <v>1.63</v>
      </c>
      <c r="F107">
        <f>100-B107-C107-D107-E107</f>
        <v>96.554000000000002</v>
      </c>
      <c r="G107">
        <v>1229</v>
      </c>
      <c r="H107">
        <v>10.5</v>
      </c>
      <c r="I107">
        <v>11.9</v>
      </c>
      <c r="J107" t="s">
        <v>283</v>
      </c>
      <c r="K107" t="s">
        <v>284</v>
      </c>
    </row>
    <row r="108" spans="1:11">
      <c r="A108">
        <v>105</v>
      </c>
      <c r="G108">
        <v>1045</v>
      </c>
      <c r="H108">
        <v>16.100000000000001</v>
      </c>
      <c r="I108">
        <v>18.3</v>
      </c>
    </row>
    <row r="109" spans="1:11">
      <c r="A109">
        <v>106</v>
      </c>
      <c r="G109">
        <v>953</v>
      </c>
      <c r="H109">
        <v>21</v>
      </c>
      <c r="I109">
        <v>24.5</v>
      </c>
    </row>
    <row r="110" spans="1:11">
      <c r="A110">
        <v>107</v>
      </c>
      <c r="G110">
        <v>877</v>
      </c>
      <c r="H110">
        <v>25.6</v>
      </c>
      <c r="I110">
        <v>28.8</v>
      </c>
    </row>
    <row r="111" spans="1:11">
      <c r="A111">
        <v>108</v>
      </c>
      <c r="G111">
        <v>806</v>
      </c>
      <c r="H111">
        <v>30.9</v>
      </c>
      <c r="I111">
        <v>36.799999999999997</v>
      </c>
    </row>
    <row r="112" spans="1:11">
      <c r="A112">
        <v>109</v>
      </c>
      <c r="G112">
        <v>1058</v>
      </c>
      <c r="H112">
        <v>15.3</v>
      </c>
      <c r="I112">
        <v>18.5</v>
      </c>
    </row>
    <row r="113" spans="1:9">
      <c r="A113">
        <v>110</v>
      </c>
      <c r="G113">
        <v>957</v>
      </c>
      <c r="H113">
        <v>20</v>
      </c>
      <c r="I113">
        <v>23.4</v>
      </c>
    </row>
    <row r="114" spans="1:9">
      <c r="A114">
        <v>111</v>
      </c>
      <c r="G114">
        <v>869</v>
      </c>
      <c r="H114">
        <v>25.9</v>
      </c>
      <c r="I114">
        <v>30.8</v>
      </c>
    </row>
    <row r="115" spans="1:9">
      <c r="A115">
        <v>112</v>
      </c>
      <c r="G115">
        <v>808</v>
      </c>
      <c r="H115">
        <v>30</v>
      </c>
      <c r="I115">
        <v>37.299999999999997</v>
      </c>
    </row>
    <row r="116" spans="1:9">
      <c r="A116">
        <v>113</v>
      </c>
      <c r="G116">
        <v>1569</v>
      </c>
      <c r="H116">
        <v>7.3</v>
      </c>
      <c r="I116">
        <v>8.1</v>
      </c>
    </row>
    <row r="117" spans="1:9">
      <c r="A117">
        <v>114</v>
      </c>
      <c r="G117">
        <v>1589</v>
      </c>
      <c r="H117">
        <v>6.8</v>
      </c>
      <c r="I117">
        <v>7.6</v>
      </c>
    </row>
    <row r="118" spans="1:9">
      <c r="A118">
        <v>115</v>
      </c>
      <c r="G118">
        <v>1424</v>
      </c>
      <c r="H118">
        <v>8.5</v>
      </c>
      <c r="I118">
        <v>10.9</v>
      </c>
    </row>
    <row r="119" spans="1:9">
      <c r="A119">
        <v>116</v>
      </c>
      <c r="G119">
        <v>1408</v>
      </c>
      <c r="H119">
        <v>8.6999999999999993</v>
      </c>
      <c r="I119">
        <v>13.1</v>
      </c>
    </row>
    <row r="120" spans="1:9">
      <c r="A120">
        <v>117</v>
      </c>
      <c r="G120">
        <v>1400</v>
      </c>
      <c r="H120">
        <v>7.8</v>
      </c>
      <c r="I120">
        <v>10.8</v>
      </c>
    </row>
    <row r="121" spans="1:9">
      <c r="A121">
        <v>118</v>
      </c>
      <c r="G121">
        <v>1334</v>
      </c>
      <c r="H121">
        <v>9.4</v>
      </c>
      <c r="I121">
        <v>11.9</v>
      </c>
    </row>
    <row r="122" spans="1:9">
      <c r="A122">
        <v>119</v>
      </c>
      <c r="G122">
        <v>1432</v>
      </c>
      <c r="H122">
        <v>8.4</v>
      </c>
      <c r="I122">
        <v>10.8</v>
      </c>
    </row>
    <row r="123" spans="1:9">
      <c r="A123">
        <v>120</v>
      </c>
      <c r="G123">
        <v>1424</v>
      </c>
      <c r="H123">
        <v>7.4</v>
      </c>
      <c r="I123">
        <v>11.6</v>
      </c>
    </row>
    <row r="124" spans="1:9">
      <c r="A124">
        <v>121</v>
      </c>
      <c r="G124">
        <v>1390</v>
      </c>
      <c r="H124">
        <v>8.5</v>
      </c>
      <c r="I124">
        <v>11.4</v>
      </c>
    </row>
    <row r="125" spans="1:9">
      <c r="A125">
        <v>122</v>
      </c>
      <c r="G125">
        <v>1331</v>
      </c>
      <c r="H125">
        <v>9</v>
      </c>
      <c r="I125">
        <v>12.8</v>
      </c>
    </row>
    <row r="126" spans="1:9">
      <c r="A126">
        <v>123</v>
      </c>
      <c r="G126">
        <v>1384</v>
      </c>
      <c r="H126">
        <v>8.4</v>
      </c>
      <c r="I126">
        <v>12.6</v>
      </c>
    </row>
    <row r="127" spans="1:9">
      <c r="A127">
        <v>124</v>
      </c>
      <c r="G127">
        <v>1384</v>
      </c>
      <c r="H127">
        <v>8.6</v>
      </c>
      <c r="I127">
        <v>10.9</v>
      </c>
    </row>
    <row r="128" spans="1:9">
      <c r="A128">
        <v>125</v>
      </c>
      <c r="G128">
        <v>1370</v>
      </c>
      <c r="H128">
        <v>8.6</v>
      </c>
      <c r="I128">
        <v>13.2</v>
      </c>
    </row>
    <row r="129" spans="1:9">
      <c r="A129">
        <v>126</v>
      </c>
      <c r="G129">
        <v>1304</v>
      </c>
      <c r="H129">
        <v>10</v>
      </c>
      <c r="I129">
        <v>12.1</v>
      </c>
    </row>
    <row r="130" spans="1:9">
      <c r="A130">
        <v>127</v>
      </c>
      <c r="G130">
        <v>1210</v>
      </c>
      <c r="H130">
        <v>14</v>
      </c>
      <c r="I130">
        <v>16.600000000000001</v>
      </c>
    </row>
    <row r="131" spans="1:9">
      <c r="A131">
        <v>128</v>
      </c>
      <c r="G131">
        <v>1393</v>
      </c>
      <c r="H131">
        <v>8.6999999999999993</v>
      </c>
      <c r="I131">
        <v>12.6</v>
      </c>
    </row>
    <row r="132" spans="1:9">
      <c r="A132">
        <v>129</v>
      </c>
      <c r="G132">
        <v>1368</v>
      </c>
      <c r="H132">
        <v>8.9</v>
      </c>
      <c r="I132">
        <v>11.2</v>
      </c>
    </row>
    <row r="133" spans="1:9">
      <c r="A133">
        <v>130</v>
      </c>
      <c r="G133">
        <v>1338</v>
      </c>
      <c r="H133">
        <v>9</v>
      </c>
      <c r="I133">
        <v>11.4</v>
      </c>
    </row>
    <row r="134" spans="1:9">
      <c r="A134">
        <v>131</v>
      </c>
      <c r="G134">
        <v>1241</v>
      </c>
      <c r="H134">
        <v>10.7</v>
      </c>
      <c r="I134">
        <v>14.4</v>
      </c>
    </row>
    <row r="135" spans="1:9">
      <c r="A135">
        <v>132</v>
      </c>
      <c r="G135">
        <v>1147</v>
      </c>
      <c r="H135">
        <v>14.2</v>
      </c>
      <c r="I135">
        <v>18.899999999999999</v>
      </c>
    </row>
    <row r="136" spans="1:9">
      <c r="A136">
        <v>133</v>
      </c>
      <c r="G136">
        <v>1219</v>
      </c>
      <c r="H136">
        <v>7.7</v>
      </c>
      <c r="I136">
        <v>17</v>
      </c>
    </row>
    <row r="137" spans="1:9">
      <c r="A137">
        <v>134</v>
      </c>
      <c r="G137">
        <v>1179</v>
      </c>
      <c r="H137">
        <v>14.9</v>
      </c>
      <c r="I137">
        <v>18.100000000000001</v>
      </c>
    </row>
    <row r="138" spans="1:9">
      <c r="A138">
        <v>135</v>
      </c>
      <c r="G138">
        <v>1081</v>
      </c>
      <c r="H138">
        <v>17.3</v>
      </c>
      <c r="I138">
        <v>20.6</v>
      </c>
    </row>
    <row r="139" spans="1:9">
      <c r="A139">
        <v>136</v>
      </c>
      <c r="G139">
        <v>893</v>
      </c>
      <c r="H139">
        <v>19.399999999999999</v>
      </c>
      <c r="I139">
        <v>24.1</v>
      </c>
    </row>
    <row r="140" spans="1:9">
      <c r="A140">
        <v>137</v>
      </c>
      <c r="G140">
        <v>1072</v>
      </c>
      <c r="H140">
        <v>15.8</v>
      </c>
      <c r="I140">
        <v>19.600000000000001</v>
      </c>
    </row>
    <row r="141" spans="1:9">
      <c r="A141">
        <v>138</v>
      </c>
      <c r="G141">
        <v>980</v>
      </c>
      <c r="H141">
        <v>20.5</v>
      </c>
      <c r="I141">
        <v>25.2</v>
      </c>
    </row>
    <row r="142" spans="1:9">
      <c r="A142">
        <v>139</v>
      </c>
      <c r="G142">
        <v>904</v>
      </c>
      <c r="H142">
        <v>24.8</v>
      </c>
      <c r="I142">
        <v>29.4</v>
      </c>
    </row>
    <row r="143" spans="1:9">
      <c r="A143">
        <v>140</v>
      </c>
      <c r="G143">
        <v>859</v>
      </c>
      <c r="H143">
        <v>23.6</v>
      </c>
      <c r="I143">
        <v>26.6</v>
      </c>
    </row>
    <row r="144" spans="1:9">
      <c r="A144">
        <v>141</v>
      </c>
      <c r="G144">
        <v>1022</v>
      </c>
      <c r="H144">
        <v>19.399999999999999</v>
      </c>
      <c r="I144">
        <v>22.6</v>
      </c>
    </row>
    <row r="145" spans="1:9">
      <c r="A145">
        <v>142</v>
      </c>
      <c r="G145">
        <v>951</v>
      </c>
      <c r="H145">
        <v>22.7</v>
      </c>
      <c r="I145">
        <v>26.1</v>
      </c>
    </row>
    <row r="146" spans="1:9">
      <c r="A146">
        <v>143</v>
      </c>
      <c r="G146">
        <v>1245</v>
      </c>
      <c r="H146">
        <v>12.7</v>
      </c>
      <c r="I146">
        <v>16.100000000000001</v>
      </c>
    </row>
    <row r="147" spans="1:9">
      <c r="A147">
        <v>144</v>
      </c>
      <c r="G147">
        <v>1178</v>
      </c>
      <c r="H147">
        <v>13.6</v>
      </c>
      <c r="I147">
        <v>18</v>
      </c>
    </row>
    <row r="148" spans="1:9">
      <c r="A148">
        <v>145</v>
      </c>
      <c r="G148">
        <v>1082</v>
      </c>
      <c r="H148">
        <v>14.8</v>
      </c>
      <c r="I148">
        <v>21</v>
      </c>
    </row>
    <row r="149" spans="1:9">
      <c r="A149">
        <v>146</v>
      </c>
      <c r="G149">
        <v>989</v>
      </c>
      <c r="H149">
        <v>14.6</v>
      </c>
      <c r="I149">
        <v>19.5</v>
      </c>
    </row>
    <row r="150" spans="1:9">
      <c r="A150">
        <v>147</v>
      </c>
      <c r="G150">
        <v>1179</v>
      </c>
      <c r="H150">
        <v>9.9</v>
      </c>
      <c r="I150">
        <v>12.8</v>
      </c>
    </row>
    <row r="151" spans="1:9">
      <c r="A151">
        <v>148</v>
      </c>
      <c r="G151">
        <v>1157</v>
      </c>
      <c r="H151">
        <v>9.1999999999999993</v>
      </c>
      <c r="I151">
        <v>14.2</v>
      </c>
    </row>
    <row r="152" spans="1:9">
      <c r="A152">
        <v>149</v>
      </c>
      <c r="G152">
        <v>1135</v>
      </c>
      <c r="H152">
        <v>8.5</v>
      </c>
      <c r="I152">
        <v>14.3</v>
      </c>
    </row>
    <row r="153" spans="1:9">
      <c r="A153">
        <v>150</v>
      </c>
      <c r="G153">
        <v>1097</v>
      </c>
      <c r="H153">
        <v>9.9</v>
      </c>
      <c r="I153">
        <v>15</v>
      </c>
    </row>
    <row r="154" spans="1:9">
      <c r="A154">
        <v>151</v>
      </c>
      <c r="G154">
        <v>1186</v>
      </c>
      <c r="H154">
        <v>12.5</v>
      </c>
      <c r="I154">
        <v>17</v>
      </c>
    </row>
    <row r="155" spans="1:9">
      <c r="A155">
        <v>152</v>
      </c>
      <c r="G155">
        <v>1138</v>
      </c>
      <c r="H155">
        <v>9.9</v>
      </c>
      <c r="I155">
        <v>16.2</v>
      </c>
    </row>
    <row r="156" spans="1:9">
      <c r="A156">
        <v>153</v>
      </c>
      <c r="G156">
        <v>1118</v>
      </c>
      <c r="H156">
        <v>10.1</v>
      </c>
      <c r="I156">
        <v>14.9</v>
      </c>
    </row>
    <row r="157" spans="1:9">
      <c r="A157">
        <v>154</v>
      </c>
      <c r="G157">
        <v>1071</v>
      </c>
      <c r="H157">
        <v>10.199999999999999</v>
      </c>
      <c r="I157">
        <v>15.3</v>
      </c>
    </row>
    <row r="158" spans="1:9">
      <c r="A158">
        <v>155</v>
      </c>
      <c r="G158">
        <v>1186</v>
      </c>
      <c r="H158">
        <v>11.7</v>
      </c>
      <c r="I158">
        <v>15.2</v>
      </c>
    </row>
    <row r="159" spans="1:9">
      <c r="A159">
        <v>156</v>
      </c>
      <c r="G159">
        <v>1088</v>
      </c>
      <c r="H159">
        <v>11.8</v>
      </c>
      <c r="I159">
        <v>14.9</v>
      </c>
    </row>
    <row r="160" spans="1:9">
      <c r="A160">
        <v>157</v>
      </c>
      <c r="G160">
        <v>1086</v>
      </c>
      <c r="H160">
        <v>11.3</v>
      </c>
      <c r="I160">
        <v>18.5</v>
      </c>
    </row>
    <row r="161" spans="1:9">
      <c r="A161">
        <v>158</v>
      </c>
      <c r="G161">
        <v>1058</v>
      </c>
      <c r="H161">
        <v>11.6</v>
      </c>
      <c r="I161">
        <v>17.600000000000001</v>
      </c>
    </row>
    <row r="162" spans="1:9">
      <c r="A162">
        <v>159</v>
      </c>
      <c r="G162">
        <v>1182</v>
      </c>
      <c r="H162">
        <v>12.7</v>
      </c>
      <c r="I162">
        <v>16</v>
      </c>
    </row>
    <row r="163" spans="1:9">
      <c r="A163">
        <v>160</v>
      </c>
      <c r="G163">
        <v>1088</v>
      </c>
      <c r="H163">
        <v>13.8</v>
      </c>
      <c r="I163">
        <v>18.8</v>
      </c>
    </row>
    <row r="164" spans="1:9">
      <c r="A164">
        <v>161</v>
      </c>
      <c r="G164">
        <v>1045</v>
      </c>
      <c r="H164">
        <v>10.6</v>
      </c>
      <c r="I164">
        <v>14.4</v>
      </c>
    </row>
    <row r="165" spans="1:9">
      <c r="A165">
        <v>162</v>
      </c>
      <c r="G165">
        <v>1009</v>
      </c>
      <c r="H165">
        <v>14.4</v>
      </c>
      <c r="I165">
        <v>17.5</v>
      </c>
    </row>
    <row r="166" spans="1:9">
      <c r="A166">
        <v>163</v>
      </c>
      <c r="G166">
        <v>1033</v>
      </c>
      <c r="H166">
        <v>20</v>
      </c>
      <c r="I166">
        <v>23.3</v>
      </c>
    </row>
    <row r="167" spans="1:9">
      <c r="A167">
        <v>164</v>
      </c>
      <c r="G167">
        <v>991</v>
      </c>
      <c r="H167">
        <v>21.5</v>
      </c>
      <c r="I167">
        <v>25.8</v>
      </c>
    </row>
    <row r="168" spans="1:9">
      <c r="A168">
        <v>165</v>
      </c>
      <c r="G168">
        <v>975</v>
      </c>
      <c r="H168">
        <v>21.7</v>
      </c>
      <c r="I168">
        <v>27.1</v>
      </c>
    </row>
    <row r="169" spans="1:9">
      <c r="A169">
        <v>166</v>
      </c>
      <c r="G169">
        <v>944</v>
      </c>
      <c r="H169">
        <v>12.9</v>
      </c>
      <c r="I169">
        <v>17.8</v>
      </c>
    </row>
    <row r="170" spans="1:9">
      <c r="A170">
        <v>167</v>
      </c>
      <c r="G170">
        <v>1785</v>
      </c>
      <c r="H170">
        <v>3.9</v>
      </c>
      <c r="I170">
        <v>6.5</v>
      </c>
    </row>
    <row r="171" spans="1:9">
      <c r="A171">
        <v>168</v>
      </c>
      <c r="G171">
        <v>1385</v>
      </c>
      <c r="H171">
        <v>7.3</v>
      </c>
      <c r="I171">
        <v>12.2</v>
      </c>
    </row>
    <row r="172" spans="1:9">
      <c r="A172">
        <v>169</v>
      </c>
      <c r="G172">
        <v>1249</v>
      </c>
      <c r="H172">
        <v>8.1</v>
      </c>
      <c r="I172">
        <v>13.8</v>
      </c>
    </row>
    <row r="173" spans="1:9">
      <c r="A173">
        <v>170</v>
      </c>
      <c r="G173">
        <v>1143</v>
      </c>
      <c r="H173">
        <v>8.9</v>
      </c>
      <c r="I173">
        <v>15</v>
      </c>
    </row>
    <row r="174" spans="1:9">
      <c r="A174">
        <v>171</v>
      </c>
      <c r="G174">
        <v>1155</v>
      </c>
      <c r="H174">
        <v>7.4</v>
      </c>
      <c r="I174">
        <v>13.7</v>
      </c>
    </row>
    <row r="175" spans="1:9">
      <c r="A175">
        <v>172</v>
      </c>
      <c r="G175">
        <v>1510</v>
      </c>
      <c r="H175">
        <v>6.1</v>
      </c>
      <c r="I175">
        <v>10.199999999999999</v>
      </c>
    </row>
    <row r="176" spans="1:9">
      <c r="A176">
        <v>173</v>
      </c>
      <c r="G176">
        <v>1463</v>
      </c>
      <c r="H176">
        <v>5.2</v>
      </c>
      <c r="I176">
        <v>9.4</v>
      </c>
    </row>
    <row r="177" spans="1:9">
      <c r="A177">
        <v>174</v>
      </c>
      <c r="G177">
        <v>1440</v>
      </c>
      <c r="H177">
        <v>4.0999999999999996</v>
      </c>
      <c r="I177">
        <v>10.199999999999999</v>
      </c>
    </row>
    <row r="178" spans="1:9">
      <c r="A178">
        <v>175</v>
      </c>
      <c r="G178">
        <v>1443</v>
      </c>
      <c r="H178">
        <v>3.1</v>
      </c>
      <c r="I178">
        <v>7.4</v>
      </c>
    </row>
    <row r="179" spans="1:9">
      <c r="A179">
        <v>176</v>
      </c>
      <c r="G179">
        <v>1407</v>
      </c>
      <c r="H179">
        <v>5.3</v>
      </c>
      <c r="I179">
        <v>9</v>
      </c>
    </row>
    <row r="180" spans="1:9">
      <c r="A180">
        <v>177</v>
      </c>
      <c r="G180">
        <v>1410</v>
      </c>
      <c r="H180">
        <v>4</v>
      </c>
      <c r="I180">
        <v>9.9</v>
      </c>
    </row>
    <row r="181" spans="1:9">
      <c r="A181">
        <v>178</v>
      </c>
      <c r="G181">
        <v>1398</v>
      </c>
      <c r="H181">
        <v>2.9</v>
      </c>
      <c r="I181">
        <v>8.5</v>
      </c>
    </row>
    <row r="182" spans="1:9">
      <c r="A182">
        <v>179</v>
      </c>
      <c r="G182">
        <v>1351</v>
      </c>
      <c r="H182">
        <v>3.3</v>
      </c>
      <c r="I182">
        <v>8.9</v>
      </c>
    </row>
    <row r="183" spans="1:9">
      <c r="A183">
        <v>180</v>
      </c>
      <c r="G183">
        <v>1362</v>
      </c>
      <c r="H183">
        <v>3.8</v>
      </c>
      <c r="I183">
        <v>7.8</v>
      </c>
    </row>
    <row r="184" spans="1:9">
      <c r="A184">
        <v>181</v>
      </c>
      <c r="G184">
        <v>1342</v>
      </c>
      <c r="H184">
        <v>4.0999999999999996</v>
      </c>
      <c r="I184">
        <v>10.7</v>
      </c>
    </row>
    <row r="185" spans="1:9">
      <c r="A185">
        <v>182</v>
      </c>
      <c r="G185">
        <v>1307</v>
      </c>
      <c r="H185">
        <v>5.2</v>
      </c>
      <c r="I185">
        <v>9.6999999999999993</v>
      </c>
    </row>
    <row r="186" spans="1:9">
      <c r="A186">
        <v>183</v>
      </c>
      <c r="G186">
        <v>1192</v>
      </c>
      <c r="H186">
        <v>5.9</v>
      </c>
      <c r="I186">
        <v>10.8</v>
      </c>
    </row>
    <row r="187" spans="1:9">
      <c r="A187">
        <v>184</v>
      </c>
      <c r="G187">
        <v>1483</v>
      </c>
      <c r="H187">
        <v>4.7</v>
      </c>
      <c r="I187">
        <v>9</v>
      </c>
    </row>
    <row r="188" spans="1:9">
      <c r="A188">
        <v>185</v>
      </c>
      <c r="G188">
        <v>1446</v>
      </c>
      <c r="H188">
        <v>3.7</v>
      </c>
      <c r="I188">
        <v>7.9</v>
      </c>
    </row>
    <row r="189" spans="1:9">
      <c r="A189">
        <v>186</v>
      </c>
      <c r="G189">
        <v>1424</v>
      </c>
      <c r="H189">
        <v>3.3</v>
      </c>
      <c r="I189">
        <v>6.9</v>
      </c>
    </row>
    <row r="190" spans="1:9">
      <c r="A190">
        <v>187</v>
      </c>
      <c r="G190">
        <v>1388</v>
      </c>
      <c r="H190">
        <v>4.5</v>
      </c>
      <c r="I190">
        <v>7.9</v>
      </c>
    </row>
    <row r="191" spans="1:9">
      <c r="A191">
        <v>188</v>
      </c>
      <c r="G191">
        <v>1380</v>
      </c>
      <c r="H191">
        <v>2.5</v>
      </c>
      <c r="I191">
        <v>6</v>
      </c>
    </row>
    <row r="192" spans="1:9">
      <c r="A192">
        <v>189</v>
      </c>
      <c r="G192">
        <v>1368</v>
      </c>
      <c r="H192">
        <v>2.7</v>
      </c>
      <c r="I192">
        <v>5.9</v>
      </c>
    </row>
    <row r="193" spans="1:11">
      <c r="A193">
        <v>190</v>
      </c>
      <c r="G193">
        <v>1366</v>
      </c>
      <c r="H193">
        <v>2.6</v>
      </c>
      <c r="I193">
        <v>7.9</v>
      </c>
    </row>
    <row r="194" spans="1:11">
      <c r="A194">
        <v>191</v>
      </c>
      <c r="G194">
        <v>1309</v>
      </c>
      <c r="H194">
        <v>2.9</v>
      </c>
      <c r="I194">
        <v>7</v>
      </c>
    </row>
    <row r="195" spans="1:11">
      <c r="A195">
        <v>192</v>
      </c>
      <c r="G195">
        <v>1248</v>
      </c>
      <c r="H195">
        <v>5.2</v>
      </c>
      <c r="I195">
        <v>7.4</v>
      </c>
    </row>
    <row r="196" spans="1:11">
      <c r="A196">
        <v>193</v>
      </c>
      <c r="B196">
        <v>0.18</v>
      </c>
      <c r="C196">
        <v>2.7</v>
      </c>
      <c r="D196">
        <v>0</v>
      </c>
      <c r="E196">
        <v>1.7</v>
      </c>
      <c r="F196">
        <f>100-B196-C196-D196-E196</f>
        <v>95.419999999999987</v>
      </c>
      <c r="G196">
        <v>1232</v>
      </c>
      <c r="H196">
        <v>11.5</v>
      </c>
      <c r="I196">
        <v>16.2</v>
      </c>
      <c r="J196" t="s">
        <v>296</v>
      </c>
      <c r="K196" t="s">
        <v>285</v>
      </c>
    </row>
    <row r="197" spans="1:11">
      <c r="A197">
        <v>194</v>
      </c>
      <c r="B197">
        <v>0.28000000000000003</v>
      </c>
      <c r="C197">
        <v>2.56</v>
      </c>
      <c r="D197">
        <v>4.9000000000000002E-2</v>
      </c>
      <c r="E197">
        <v>1.56</v>
      </c>
      <c r="F197">
        <f>100-B197-C197-D197-E197</f>
        <v>95.550999999999988</v>
      </c>
      <c r="G197">
        <v>1590.8269579699854</v>
      </c>
      <c r="H197">
        <v>8.6541808548238119</v>
      </c>
      <c r="J197" t="s">
        <v>286</v>
      </c>
      <c r="K197" t="s">
        <v>287</v>
      </c>
    </row>
    <row r="198" spans="1:11">
      <c r="A198">
        <v>195</v>
      </c>
      <c r="B198">
        <v>0.2</v>
      </c>
      <c r="C198">
        <v>2</v>
      </c>
      <c r="D198">
        <v>0</v>
      </c>
      <c r="E198">
        <v>1.5</v>
      </c>
      <c r="F198">
        <f>100-B198-C198-D198-E198</f>
        <v>96.3</v>
      </c>
      <c r="G198">
        <v>1060</v>
      </c>
      <c r="H198">
        <v>16.399999999999999</v>
      </c>
      <c r="I198">
        <v>20.8</v>
      </c>
      <c r="J198" t="s">
        <v>288</v>
      </c>
      <c r="K198" t="s">
        <v>289</v>
      </c>
    </row>
    <row r="199" spans="1:11">
      <c r="A199">
        <v>196</v>
      </c>
      <c r="G199">
        <v>1057</v>
      </c>
      <c r="H199">
        <v>10.4</v>
      </c>
      <c r="I199">
        <v>15.7</v>
      </c>
    </row>
    <row r="200" spans="1:11">
      <c r="A200">
        <v>197</v>
      </c>
      <c r="B200">
        <v>0.28999999999999998</v>
      </c>
      <c r="C200">
        <v>3</v>
      </c>
      <c r="D200">
        <v>0</v>
      </c>
      <c r="E200">
        <v>1.4</v>
      </c>
      <c r="F200">
        <f>100-B200-C200-D200-E200</f>
        <v>95.309999999999988</v>
      </c>
      <c r="G200">
        <v>1433</v>
      </c>
      <c r="H200">
        <v>8.8000000000000007</v>
      </c>
      <c r="I200">
        <v>15.9</v>
      </c>
      <c r="J200" t="s">
        <v>290</v>
      </c>
      <c r="K200" t="s">
        <v>291</v>
      </c>
    </row>
    <row r="201" spans="1:11">
      <c r="A201">
        <v>198</v>
      </c>
      <c r="G201">
        <v>1409</v>
      </c>
      <c r="H201">
        <v>11.2</v>
      </c>
      <c r="I201">
        <v>16.899999999999999</v>
      </c>
    </row>
    <row r="202" spans="1:11">
      <c r="A202">
        <v>199</v>
      </c>
      <c r="G202">
        <v>1408</v>
      </c>
      <c r="H202">
        <v>10.9</v>
      </c>
      <c r="I202">
        <v>16.5</v>
      </c>
    </row>
    <row r="203" spans="1:11">
      <c r="A203">
        <v>200</v>
      </c>
      <c r="G203">
        <v>1397</v>
      </c>
      <c r="H203">
        <v>10.4</v>
      </c>
      <c r="I203">
        <v>15.8</v>
      </c>
    </row>
    <row r="204" spans="1:11">
      <c r="A204">
        <v>201</v>
      </c>
      <c r="G204">
        <v>1442</v>
      </c>
      <c r="H204">
        <v>10.7</v>
      </c>
      <c r="I204">
        <v>16.2</v>
      </c>
    </row>
    <row r="205" spans="1:11">
      <c r="A205">
        <v>202</v>
      </c>
      <c r="B205">
        <v>0.28000000000000003</v>
      </c>
      <c r="C205">
        <v>4.08</v>
      </c>
      <c r="D205">
        <v>0</v>
      </c>
      <c r="E205">
        <v>1.42</v>
      </c>
      <c r="F205">
        <f>100-B205-C205-D205-E205</f>
        <v>94.22</v>
      </c>
      <c r="G205">
        <v>1510.6</v>
      </c>
      <c r="H205">
        <v>15.2</v>
      </c>
      <c r="I205">
        <v>15.2</v>
      </c>
      <c r="J205" t="s">
        <v>292</v>
      </c>
      <c r="K205" t="s">
        <v>57</v>
      </c>
    </row>
    <row r="206" spans="1:11">
      <c r="A206">
        <v>203</v>
      </c>
      <c r="G206">
        <v>1536.2</v>
      </c>
      <c r="H206">
        <v>15.3</v>
      </c>
      <c r="I206">
        <v>15.3</v>
      </c>
    </row>
    <row r="207" spans="1:11">
      <c r="A207">
        <v>204</v>
      </c>
      <c r="G207">
        <v>1396.3</v>
      </c>
      <c r="H207">
        <v>9.8000000000000007</v>
      </c>
      <c r="I207">
        <v>13.4</v>
      </c>
    </row>
    <row r="208" spans="1:11">
      <c r="A208">
        <v>205</v>
      </c>
      <c r="B208">
        <v>0.2</v>
      </c>
      <c r="C208">
        <v>1.8</v>
      </c>
      <c r="D208">
        <v>3.5999999999999997E-2</v>
      </c>
      <c r="E208">
        <v>1.51</v>
      </c>
      <c r="F208">
        <f>100-B208-C208-D208-E208</f>
        <v>96.453999999999994</v>
      </c>
      <c r="G208">
        <v>1007</v>
      </c>
      <c r="H208">
        <v>17.3</v>
      </c>
      <c r="I208">
        <v>22.6</v>
      </c>
      <c r="J208" t="s">
        <v>293</v>
      </c>
      <c r="K208" t="s">
        <v>294</v>
      </c>
    </row>
    <row r="209" spans="1:11">
      <c r="A209">
        <v>206</v>
      </c>
      <c r="B209">
        <v>0.22</v>
      </c>
      <c r="C209">
        <v>1.8</v>
      </c>
      <c r="D209">
        <v>0</v>
      </c>
      <c r="E209">
        <v>1.4</v>
      </c>
      <c r="F209">
        <f>100-B209-C209-D209-E209</f>
        <v>96.58</v>
      </c>
      <c r="G209">
        <v>1037.5</v>
      </c>
      <c r="H209">
        <v>17</v>
      </c>
      <c r="I209">
        <v>24</v>
      </c>
      <c r="J209" t="s">
        <v>295</v>
      </c>
      <c r="K209" t="s">
        <v>297</v>
      </c>
    </row>
    <row r="246" spans="11:11">
      <c r="K246" s="10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8"/>
  <sheetViews>
    <sheetView zoomScale="85" zoomScaleNormal="85" workbookViewId="0">
      <selection activeCell="H18" sqref="H18"/>
    </sheetView>
  </sheetViews>
  <sheetFormatPr baseColWidth="10" defaultColWidth="8.83203125" defaultRowHeight="15"/>
  <cols>
    <col min="1" max="1" width="15" customWidth="1"/>
    <col min="7" max="7" width="10.5" customWidth="1"/>
    <col min="8" max="8" width="23" bestFit="1" customWidth="1"/>
    <col min="9" max="9" width="19" customWidth="1"/>
    <col min="10" max="10" width="26.83203125" customWidth="1"/>
    <col min="11" max="11" width="133.6640625" bestFit="1" customWidth="1"/>
  </cols>
  <sheetData>
    <row r="1" spans="1:11" s="2" customFormat="1">
      <c r="A1" s="2" t="s">
        <v>147</v>
      </c>
      <c r="G1" s="3"/>
      <c r="H1" s="4"/>
      <c r="I1" s="4"/>
      <c r="K1" s="5"/>
    </row>
    <row r="2" spans="1:11" s="2" customFormat="1">
      <c r="A2" s="2" t="s">
        <v>6</v>
      </c>
      <c r="C2" s="2" t="s">
        <v>2</v>
      </c>
      <c r="G2" s="3"/>
      <c r="H2" s="4" t="s">
        <v>9</v>
      </c>
      <c r="I2" s="4"/>
      <c r="J2" s="2" t="s">
        <v>13</v>
      </c>
      <c r="K2" s="5" t="s">
        <v>10</v>
      </c>
    </row>
    <row r="3" spans="1:11" s="6" customFormat="1">
      <c r="B3" s="6" t="s">
        <v>0</v>
      </c>
      <c r="C3" s="6" t="s">
        <v>1</v>
      </c>
      <c r="D3" s="6" t="s">
        <v>3</v>
      </c>
      <c r="E3" s="6" t="s">
        <v>4</v>
      </c>
      <c r="F3" s="6" t="s">
        <v>5</v>
      </c>
      <c r="G3" s="7" t="s">
        <v>16</v>
      </c>
      <c r="H3" s="8" t="s">
        <v>7</v>
      </c>
      <c r="I3" s="8" t="s">
        <v>8</v>
      </c>
      <c r="K3" s="9"/>
    </row>
    <row r="4" spans="1:11">
      <c r="A4">
        <v>1</v>
      </c>
      <c r="B4">
        <v>2E-3</v>
      </c>
      <c r="C4">
        <v>0.15</v>
      </c>
      <c r="D4">
        <v>5.8000000000000003E-2</v>
      </c>
      <c r="E4">
        <v>2E-3</v>
      </c>
      <c r="F4">
        <f>100-B4-C4-D4-E4</f>
        <v>99.787999999999997</v>
      </c>
      <c r="G4">
        <v>296</v>
      </c>
      <c r="H4">
        <v>24.4</v>
      </c>
      <c r="I4">
        <v>47.9</v>
      </c>
      <c r="J4" t="s">
        <v>159</v>
      </c>
      <c r="K4" t="s">
        <v>172</v>
      </c>
    </row>
    <row r="5" spans="1:11">
      <c r="A5">
        <v>2</v>
      </c>
      <c r="B5">
        <v>2E-3</v>
      </c>
      <c r="C5">
        <v>0.17</v>
      </c>
      <c r="D5">
        <v>0</v>
      </c>
      <c r="E5">
        <v>0.01</v>
      </c>
      <c r="F5">
        <f>100-B5-C5-D5-E5</f>
        <v>99.817999999999998</v>
      </c>
      <c r="G5">
        <v>265</v>
      </c>
      <c r="H5">
        <v>29</v>
      </c>
      <c r="J5" t="s">
        <v>298</v>
      </c>
      <c r="K5" t="s">
        <v>299</v>
      </c>
    </row>
    <row r="6" spans="1:11">
      <c r="A6">
        <v>3</v>
      </c>
      <c r="G6">
        <v>294.2</v>
      </c>
      <c r="H6">
        <v>32.299999999999997</v>
      </c>
    </row>
    <row r="7" spans="1:11">
      <c r="A7">
        <v>4</v>
      </c>
      <c r="G7">
        <v>321.89999999999998</v>
      </c>
      <c r="H7">
        <v>28.4</v>
      </c>
    </row>
    <row r="8" spans="1:11">
      <c r="A8">
        <v>5</v>
      </c>
      <c r="G8">
        <v>350.9</v>
      </c>
      <c r="H8">
        <v>26.5</v>
      </c>
    </row>
    <row r="9" spans="1:11">
      <c r="A9">
        <v>6</v>
      </c>
      <c r="G9">
        <v>627.1</v>
      </c>
      <c r="H9">
        <v>0.6</v>
      </c>
    </row>
    <row r="10" spans="1:11">
      <c r="A10">
        <v>7</v>
      </c>
      <c r="G10">
        <v>828.2</v>
      </c>
      <c r="H10">
        <v>5</v>
      </c>
    </row>
    <row r="11" spans="1:11">
      <c r="A11">
        <v>8</v>
      </c>
      <c r="G11">
        <v>909.1</v>
      </c>
      <c r="H11">
        <v>1.5</v>
      </c>
    </row>
    <row r="12" spans="1:11">
      <c r="A12">
        <v>9</v>
      </c>
      <c r="B12">
        <v>0.01</v>
      </c>
      <c r="C12">
        <v>0</v>
      </c>
      <c r="D12">
        <v>0</v>
      </c>
      <c r="E12">
        <v>0</v>
      </c>
      <c r="F12">
        <f>100-B12-C12-D12-E12</f>
        <v>99.99</v>
      </c>
      <c r="G12">
        <v>206</v>
      </c>
      <c r="H12">
        <v>37.6</v>
      </c>
      <c r="J12" t="s">
        <v>300</v>
      </c>
      <c r="K12" t="s">
        <v>301</v>
      </c>
    </row>
    <row r="13" spans="1:11">
      <c r="A13">
        <v>10</v>
      </c>
      <c r="G13">
        <v>296</v>
      </c>
      <c r="H13">
        <v>35.700000000000003</v>
      </c>
    </row>
    <row r="14" spans="1:11">
      <c r="A14">
        <v>11</v>
      </c>
      <c r="B14">
        <v>0.01</v>
      </c>
      <c r="C14">
        <v>0</v>
      </c>
      <c r="D14">
        <v>0</v>
      </c>
      <c r="E14">
        <v>1</v>
      </c>
      <c r="F14">
        <f>100-B14-C14-D14-E14</f>
        <v>98.99</v>
      </c>
      <c r="G14">
        <v>294</v>
      </c>
      <c r="H14">
        <v>34</v>
      </c>
    </row>
    <row r="15" spans="1:11">
      <c r="A15">
        <v>12</v>
      </c>
      <c r="G15">
        <v>393</v>
      </c>
      <c r="H15">
        <v>29</v>
      </c>
    </row>
    <row r="16" spans="1:11">
      <c r="A16">
        <v>13</v>
      </c>
      <c r="B16">
        <v>0</v>
      </c>
      <c r="C16">
        <v>0</v>
      </c>
      <c r="D16">
        <v>0</v>
      </c>
      <c r="E16">
        <v>0</v>
      </c>
      <c r="F16">
        <f>100-B16-C16-D16-E16</f>
        <v>100</v>
      </c>
      <c r="G16">
        <v>214.8</v>
      </c>
      <c r="H16">
        <v>43.5</v>
      </c>
      <c r="J16" t="s">
        <v>302</v>
      </c>
      <c r="K16" t="s">
        <v>303</v>
      </c>
    </row>
    <row r="17" spans="1:11">
      <c r="A17">
        <v>14</v>
      </c>
      <c r="G17">
        <v>250.8</v>
      </c>
      <c r="H17">
        <v>42.5</v>
      </c>
    </row>
    <row r="18" spans="1:11">
      <c r="A18">
        <v>15</v>
      </c>
      <c r="G18">
        <v>269.7</v>
      </c>
      <c r="H18">
        <v>40</v>
      </c>
    </row>
    <row r="19" spans="1:11">
      <c r="A19">
        <v>16</v>
      </c>
      <c r="G19">
        <v>283.5</v>
      </c>
      <c r="H19">
        <v>40</v>
      </c>
    </row>
    <row r="20" spans="1:11">
      <c r="A20">
        <v>17</v>
      </c>
      <c r="B20">
        <v>0</v>
      </c>
      <c r="C20">
        <v>0</v>
      </c>
      <c r="D20">
        <v>0</v>
      </c>
      <c r="E20">
        <v>0</v>
      </c>
      <c r="F20">
        <f>100-B20-C20-D20-E20</f>
        <v>100</v>
      </c>
      <c r="G20">
        <v>230.8</v>
      </c>
      <c r="H20">
        <v>27</v>
      </c>
      <c r="I20">
        <v>53.8</v>
      </c>
      <c r="J20" t="s">
        <v>335</v>
      </c>
      <c r="K20" t="s">
        <v>334</v>
      </c>
    </row>
    <row r="21" spans="1:11">
      <c r="A21">
        <v>18</v>
      </c>
      <c r="G21">
        <v>724.4</v>
      </c>
      <c r="H21">
        <v>0.6</v>
      </c>
      <c r="I21">
        <v>11.2</v>
      </c>
    </row>
    <row r="22" spans="1:11">
      <c r="A22">
        <v>19</v>
      </c>
      <c r="G22">
        <v>839.7</v>
      </c>
      <c r="H22">
        <v>0.5</v>
      </c>
      <c r="I22">
        <v>7.9</v>
      </c>
    </row>
    <row r="23" spans="1:11">
      <c r="A23">
        <v>20</v>
      </c>
      <c r="G23">
        <v>483.9</v>
      </c>
      <c r="H23">
        <v>20.3</v>
      </c>
      <c r="I23">
        <v>37.200000000000003</v>
      </c>
    </row>
    <row r="24" spans="1:11">
      <c r="A24">
        <v>21</v>
      </c>
      <c r="G24">
        <v>886.1</v>
      </c>
      <c r="H24">
        <v>0.8</v>
      </c>
      <c r="I24">
        <v>8.1</v>
      </c>
    </row>
    <row r="65" spans="10:10">
      <c r="J65" s="1"/>
    </row>
    <row r="88" spans="11:11">
      <c r="K88" s="10"/>
    </row>
    <row r="248" spans="11:11">
      <c r="K248" s="10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4"/>
  <sheetViews>
    <sheetView zoomScale="64" zoomScaleNormal="85" workbookViewId="0">
      <selection activeCell="K48" sqref="K48"/>
    </sheetView>
  </sheetViews>
  <sheetFormatPr baseColWidth="10" defaultColWidth="8.83203125" defaultRowHeight="15"/>
  <cols>
    <col min="1" max="1" width="15" customWidth="1"/>
    <col min="7" max="7" width="10.5" customWidth="1"/>
    <col min="8" max="8" width="23" bestFit="1" customWidth="1"/>
    <col min="9" max="9" width="19" customWidth="1"/>
    <col min="10" max="10" width="26.83203125" customWidth="1"/>
    <col min="11" max="11" width="133.6640625" bestFit="1" customWidth="1"/>
  </cols>
  <sheetData>
    <row r="1" spans="1:11" s="2" customFormat="1">
      <c r="A1" s="2" t="s">
        <v>147</v>
      </c>
      <c r="G1" s="3"/>
      <c r="H1" s="4"/>
      <c r="I1" s="4"/>
      <c r="K1" s="5"/>
    </row>
    <row r="2" spans="1:11" s="2" customFormat="1">
      <c r="A2" s="2" t="s">
        <v>6</v>
      </c>
      <c r="C2" s="2" t="s">
        <v>2</v>
      </c>
      <c r="G2" s="3"/>
      <c r="H2" s="4" t="s">
        <v>9</v>
      </c>
      <c r="I2" s="4"/>
      <c r="J2" s="2" t="s">
        <v>13</v>
      </c>
      <c r="K2" s="5" t="s">
        <v>10</v>
      </c>
    </row>
    <row r="3" spans="1:11" s="6" customFormat="1">
      <c r="B3" s="6" t="s">
        <v>0</v>
      </c>
      <c r="C3" s="6" t="s">
        <v>1</v>
      </c>
      <c r="D3" s="6" t="s">
        <v>3</v>
      </c>
      <c r="E3" s="6" t="s">
        <v>4</v>
      </c>
      <c r="F3" s="6" t="s">
        <v>5</v>
      </c>
      <c r="G3" s="7" t="s">
        <v>16</v>
      </c>
      <c r="H3" s="8" t="s">
        <v>7</v>
      </c>
      <c r="I3" s="8" t="s">
        <v>8</v>
      </c>
      <c r="K3" s="9"/>
    </row>
    <row r="4" spans="1:11">
      <c r="A4">
        <v>1</v>
      </c>
      <c r="B4">
        <v>0.01</v>
      </c>
      <c r="C4">
        <v>0</v>
      </c>
      <c r="D4">
        <v>0</v>
      </c>
      <c r="E4">
        <v>0.98</v>
      </c>
      <c r="F4">
        <f>100-B4-C4-D4-E4</f>
        <v>99.009999999999991</v>
      </c>
      <c r="G4">
        <v>303.7</v>
      </c>
      <c r="H4">
        <v>37.700000000000003</v>
      </c>
      <c r="J4" t="s">
        <v>302</v>
      </c>
      <c r="K4" t="s">
        <v>303</v>
      </c>
    </row>
    <row r="5" spans="1:11">
      <c r="A5">
        <v>2</v>
      </c>
      <c r="G5">
        <v>327.60000000000002</v>
      </c>
      <c r="H5">
        <v>37.700000000000003</v>
      </c>
    </row>
    <row r="6" spans="1:11">
      <c r="A6">
        <v>3</v>
      </c>
      <c r="G6">
        <v>350.6</v>
      </c>
      <c r="H6">
        <v>35.9</v>
      </c>
    </row>
    <row r="7" spans="1:11">
      <c r="A7">
        <v>4</v>
      </c>
      <c r="G7">
        <v>355.5</v>
      </c>
      <c r="H7">
        <v>36.6</v>
      </c>
    </row>
    <row r="8" spans="1:11">
      <c r="A8">
        <v>5</v>
      </c>
      <c r="G8">
        <v>362.6</v>
      </c>
      <c r="H8">
        <v>34.799999999999997</v>
      </c>
    </row>
    <row r="9" spans="1:11">
      <c r="A9">
        <v>6</v>
      </c>
      <c r="B9">
        <v>0.01</v>
      </c>
      <c r="C9">
        <v>0</v>
      </c>
      <c r="D9">
        <v>0</v>
      </c>
      <c r="E9">
        <v>1.92</v>
      </c>
      <c r="F9">
        <f>100-B9-C9-D9-E9</f>
        <v>98.07</v>
      </c>
      <c r="G9">
        <v>378.9</v>
      </c>
      <c r="H9">
        <v>37</v>
      </c>
    </row>
    <row r="10" spans="1:11">
      <c r="A10">
        <v>7</v>
      </c>
      <c r="G10">
        <v>416.2</v>
      </c>
      <c r="H10">
        <v>33.4</v>
      </c>
    </row>
    <row r="11" spans="1:11">
      <c r="A11">
        <v>8</v>
      </c>
      <c r="G11">
        <v>420.6</v>
      </c>
      <c r="H11">
        <v>33.1</v>
      </c>
    </row>
    <row r="12" spans="1:11">
      <c r="A12">
        <v>9</v>
      </c>
      <c r="G12">
        <v>434.9</v>
      </c>
      <c r="H12">
        <v>31.3</v>
      </c>
    </row>
    <row r="13" spans="1:11">
      <c r="A13">
        <v>10</v>
      </c>
      <c r="G13">
        <v>459.6</v>
      </c>
      <c r="H13">
        <v>29.5</v>
      </c>
    </row>
    <row r="14" spans="1:11">
      <c r="A14">
        <v>11</v>
      </c>
      <c r="B14">
        <v>0</v>
      </c>
      <c r="C14">
        <v>30</v>
      </c>
      <c r="D14">
        <v>0</v>
      </c>
      <c r="E14">
        <v>0</v>
      </c>
      <c r="F14">
        <f>100-B14-C14-D14-E14</f>
        <v>70</v>
      </c>
      <c r="G14">
        <v>551</v>
      </c>
      <c r="H14">
        <v>31.6</v>
      </c>
      <c r="J14" t="s">
        <v>310</v>
      </c>
      <c r="K14" t="s">
        <v>311</v>
      </c>
    </row>
    <row r="15" spans="1:11">
      <c r="A15">
        <v>12</v>
      </c>
      <c r="B15">
        <v>0</v>
      </c>
      <c r="C15">
        <v>32.6</v>
      </c>
      <c r="D15">
        <v>0</v>
      </c>
      <c r="E15">
        <v>0</v>
      </c>
      <c r="F15">
        <f>100-B15-C15-D15-E15</f>
        <v>67.400000000000006</v>
      </c>
      <c r="G15">
        <v>446</v>
      </c>
      <c r="H15">
        <v>41.3</v>
      </c>
      <c r="I15">
        <v>45.4</v>
      </c>
      <c r="J15" t="s">
        <v>312</v>
      </c>
      <c r="K15" t="s">
        <v>313</v>
      </c>
    </row>
    <row r="16" spans="1:11">
      <c r="A16">
        <v>13</v>
      </c>
      <c r="B16">
        <v>0</v>
      </c>
      <c r="C16">
        <v>33</v>
      </c>
      <c r="D16">
        <v>0</v>
      </c>
      <c r="E16">
        <v>3.96</v>
      </c>
      <c r="F16">
        <f t="shared" ref="F16:F17" si="0">100-B16-C16-D16-E16</f>
        <v>63.04</v>
      </c>
      <c r="G16">
        <v>724</v>
      </c>
      <c r="H16">
        <v>45.8</v>
      </c>
      <c r="I16">
        <v>48.3</v>
      </c>
    </row>
    <row r="17" spans="1:11">
      <c r="A17">
        <v>14</v>
      </c>
      <c r="B17">
        <v>0.78</v>
      </c>
      <c r="C17">
        <v>0.03</v>
      </c>
      <c r="D17">
        <v>0</v>
      </c>
      <c r="E17">
        <v>0.03</v>
      </c>
      <c r="F17">
        <f t="shared" si="0"/>
        <v>99.16</v>
      </c>
      <c r="G17">
        <v>761.2</v>
      </c>
      <c r="H17">
        <v>13.1</v>
      </c>
      <c r="I17">
        <v>19.5</v>
      </c>
      <c r="J17" t="s">
        <v>323</v>
      </c>
      <c r="K17" t="s">
        <v>324</v>
      </c>
    </row>
    <row r="18" spans="1:11">
      <c r="A18">
        <v>15</v>
      </c>
      <c r="G18">
        <v>1060</v>
      </c>
      <c r="H18">
        <v>7.7</v>
      </c>
      <c r="I18">
        <v>9.6999999999999993</v>
      </c>
    </row>
    <row r="19" spans="1:11">
      <c r="A19">
        <v>16</v>
      </c>
      <c r="G19">
        <v>1209</v>
      </c>
      <c r="H19">
        <v>1.8</v>
      </c>
      <c r="I19">
        <v>3.6</v>
      </c>
    </row>
    <row r="20" spans="1:11">
      <c r="A20">
        <v>17</v>
      </c>
      <c r="G20">
        <v>1347</v>
      </c>
      <c r="H20">
        <v>2.2000000000000002</v>
      </c>
      <c r="I20">
        <v>4.0999999999999996</v>
      </c>
    </row>
    <row r="21" spans="1:11">
      <c r="A21">
        <v>18</v>
      </c>
      <c r="G21">
        <v>1524</v>
      </c>
      <c r="H21">
        <v>1.6</v>
      </c>
      <c r="I21">
        <v>2.9</v>
      </c>
    </row>
    <row r="22" spans="1:11">
      <c r="A22">
        <v>19</v>
      </c>
      <c r="G22">
        <v>1533.3</v>
      </c>
      <c r="H22">
        <v>1.5</v>
      </c>
      <c r="I22">
        <v>3.4</v>
      </c>
    </row>
    <row r="23" spans="1:11">
      <c r="A23">
        <v>20</v>
      </c>
      <c r="G23">
        <v>870.5</v>
      </c>
      <c r="H23">
        <v>0.3</v>
      </c>
      <c r="I23">
        <v>3.8</v>
      </c>
    </row>
    <row r="24" spans="1:11">
      <c r="A24">
        <v>21</v>
      </c>
      <c r="G24">
        <v>706.1</v>
      </c>
      <c r="H24">
        <v>3.4</v>
      </c>
      <c r="I24">
        <v>7.5</v>
      </c>
    </row>
    <row r="25" spans="1:11">
      <c r="A25">
        <v>22</v>
      </c>
      <c r="G25">
        <v>568.20000000000005</v>
      </c>
      <c r="H25">
        <v>18.8</v>
      </c>
      <c r="I25">
        <v>24.1</v>
      </c>
    </row>
    <row r="26" spans="1:11">
      <c r="A26">
        <v>23</v>
      </c>
      <c r="G26">
        <v>1351.6</v>
      </c>
      <c r="H26">
        <v>5.0999999999999996</v>
      </c>
      <c r="I26">
        <v>6.6</v>
      </c>
    </row>
    <row r="27" spans="1:11">
      <c r="A27">
        <v>24</v>
      </c>
      <c r="G27">
        <v>1220.4000000000001</v>
      </c>
      <c r="H27">
        <v>0.4</v>
      </c>
      <c r="I27">
        <v>3.8</v>
      </c>
    </row>
    <row r="28" spans="1:11">
      <c r="A28">
        <v>25</v>
      </c>
      <c r="G28">
        <v>1150.5999999999999</v>
      </c>
      <c r="H28">
        <v>0.2</v>
      </c>
      <c r="I28">
        <v>2.4</v>
      </c>
    </row>
    <row r="29" spans="1:11">
      <c r="A29">
        <v>26</v>
      </c>
      <c r="B29">
        <v>0.82</v>
      </c>
      <c r="C29">
        <v>0.97</v>
      </c>
      <c r="D29">
        <v>0</v>
      </c>
      <c r="E29">
        <v>0.03</v>
      </c>
      <c r="F29">
        <v>98.18</v>
      </c>
      <c r="G29">
        <v>999.8</v>
      </c>
      <c r="H29">
        <v>11.9</v>
      </c>
      <c r="I29">
        <v>15.8</v>
      </c>
    </row>
    <row r="30" spans="1:11">
      <c r="A30">
        <v>27</v>
      </c>
      <c r="G30">
        <v>1118</v>
      </c>
      <c r="H30">
        <v>5.8</v>
      </c>
      <c r="I30">
        <v>7.9</v>
      </c>
    </row>
    <row r="31" spans="1:11">
      <c r="A31">
        <v>28</v>
      </c>
      <c r="G31">
        <v>1272</v>
      </c>
      <c r="H31">
        <v>3.1</v>
      </c>
      <c r="I31">
        <v>5.6</v>
      </c>
    </row>
    <row r="32" spans="1:11">
      <c r="A32">
        <v>29</v>
      </c>
      <c r="G32">
        <v>1530</v>
      </c>
      <c r="H32">
        <v>1.3</v>
      </c>
      <c r="I32">
        <v>4.4000000000000004</v>
      </c>
    </row>
    <row r="33" spans="1:9">
      <c r="A33">
        <v>30</v>
      </c>
      <c r="G33">
        <v>1915.2</v>
      </c>
      <c r="H33">
        <v>1.5</v>
      </c>
      <c r="I33">
        <v>4.0999999999999996</v>
      </c>
    </row>
    <row r="34" spans="1:9">
      <c r="A34">
        <v>31</v>
      </c>
      <c r="G34">
        <v>1188.5999999999999</v>
      </c>
      <c r="H34">
        <v>2.6</v>
      </c>
      <c r="I34">
        <v>5.6</v>
      </c>
    </row>
    <row r="35" spans="1:9">
      <c r="A35">
        <v>32</v>
      </c>
      <c r="G35">
        <v>1013.6</v>
      </c>
      <c r="H35">
        <v>2.6</v>
      </c>
      <c r="I35">
        <v>6.3</v>
      </c>
    </row>
    <row r="36" spans="1:9">
      <c r="A36">
        <v>33</v>
      </c>
      <c r="G36">
        <v>790.9</v>
      </c>
      <c r="H36">
        <v>12.8</v>
      </c>
      <c r="I36">
        <v>16.7</v>
      </c>
    </row>
    <row r="37" spans="1:9">
      <c r="A37">
        <v>34</v>
      </c>
      <c r="G37">
        <v>1705.8</v>
      </c>
      <c r="H37">
        <v>6.4</v>
      </c>
      <c r="I37">
        <v>7.7</v>
      </c>
    </row>
    <row r="38" spans="1:9">
      <c r="A38">
        <v>35</v>
      </c>
      <c r="G38">
        <v>1584.9</v>
      </c>
      <c r="H38">
        <v>4.5999999999999996</v>
      </c>
      <c r="I38">
        <v>5.7</v>
      </c>
    </row>
    <row r="39" spans="1:9">
      <c r="A39">
        <v>36</v>
      </c>
      <c r="G39">
        <v>1405.8</v>
      </c>
      <c r="H39">
        <v>4.3</v>
      </c>
      <c r="I39">
        <v>5.6</v>
      </c>
    </row>
    <row r="40" spans="1:9">
      <c r="A40">
        <v>37</v>
      </c>
      <c r="B40">
        <v>0.77</v>
      </c>
      <c r="C40">
        <v>1.96</v>
      </c>
      <c r="D40">
        <v>0</v>
      </c>
      <c r="E40">
        <v>0.03</v>
      </c>
      <c r="F40">
        <v>97.240000000000009</v>
      </c>
      <c r="G40">
        <v>1143.2</v>
      </c>
      <c r="H40">
        <v>9.5</v>
      </c>
      <c r="I40">
        <v>13.7</v>
      </c>
    </row>
    <row r="41" spans="1:9">
      <c r="A41">
        <v>38</v>
      </c>
      <c r="G41">
        <v>1883.3</v>
      </c>
      <c r="H41">
        <v>1.7</v>
      </c>
      <c r="I41">
        <v>3.8</v>
      </c>
    </row>
    <row r="42" spans="1:9">
      <c r="A42">
        <v>39</v>
      </c>
      <c r="G42">
        <v>1268.2</v>
      </c>
      <c r="H42">
        <v>7.6</v>
      </c>
      <c r="I42">
        <v>10.5</v>
      </c>
    </row>
    <row r="43" spans="1:9">
      <c r="A43">
        <v>40</v>
      </c>
      <c r="G43">
        <v>1087.9000000000001</v>
      </c>
      <c r="H43">
        <v>8.1</v>
      </c>
      <c r="I43">
        <v>10.8</v>
      </c>
    </row>
    <row r="44" spans="1:9">
      <c r="A44">
        <v>41</v>
      </c>
      <c r="G44">
        <v>849.2</v>
      </c>
      <c r="H44">
        <v>11</v>
      </c>
      <c r="I44">
        <v>17.7</v>
      </c>
    </row>
    <row r="45" spans="1:9">
      <c r="A45">
        <v>42</v>
      </c>
      <c r="G45">
        <v>1794.3</v>
      </c>
      <c r="H45">
        <v>6.6</v>
      </c>
      <c r="I45">
        <v>7.7</v>
      </c>
    </row>
    <row r="46" spans="1:9">
      <c r="A46">
        <v>43</v>
      </c>
      <c r="G46">
        <v>1673.5</v>
      </c>
      <c r="H46">
        <v>5.3</v>
      </c>
      <c r="I46">
        <v>6</v>
      </c>
    </row>
    <row r="47" spans="1:9">
      <c r="A47">
        <v>44</v>
      </c>
      <c r="G47">
        <v>1504.8</v>
      </c>
      <c r="H47">
        <v>5.9</v>
      </c>
      <c r="I47">
        <v>7.3</v>
      </c>
    </row>
    <row r="48" spans="1:9">
      <c r="A48">
        <v>45</v>
      </c>
      <c r="B48">
        <v>0.8</v>
      </c>
      <c r="C48">
        <v>0.03</v>
      </c>
      <c r="D48">
        <v>0</v>
      </c>
      <c r="E48">
        <v>0.99</v>
      </c>
      <c r="F48">
        <v>98.18</v>
      </c>
      <c r="G48">
        <v>1059.8</v>
      </c>
      <c r="H48">
        <v>14.4</v>
      </c>
      <c r="I48">
        <v>18.899999999999999</v>
      </c>
    </row>
    <row r="49" spans="1:9">
      <c r="A49">
        <v>46</v>
      </c>
      <c r="G49">
        <v>1244</v>
      </c>
      <c r="H49">
        <v>2.7</v>
      </c>
      <c r="I49">
        <v>5.5</v>
      </c>
    </row>
    <row r="50" spans="1:9">
      <c r="A50">
        <v>47</v>
      </c>
      <c r="G50">
        <v>1370</v>
      </c>
      <c r="H50">
        <v>2.2000000000000002</v>
      </c>
      <c r="I50">
        <v>4.8</v>
      </c>
    </row>
    <row r="51" spans="1:9">
      <c r="A51">
        <v>48</v>
      </c>
      <c r="G51">
        <v>1519</v>
      </c>
      <c r="H51">
        <v>2.6</v>
      </c>
      <c r="I51">
        <v>5.7</v>
      </c>
    </row>
    <row r="52" spans="1:9">
      <c r="A52">
        <v>49</v>
      </c>
      <c r="G52">
        <v>1920.5</v>
      </c>
      <c r="H52">
        <v>2</v>
      </c>
      <c r="I52">
        <v>2.7</v>
      </c>
    </row>
    <row r="53" spans="1:9">
      <c r="A53">
        <v>50</v>
      </c>
      <c r="G53">
        <v>1162.0999999999999</v>
      </c>
      <c r="H53">
        <v>9.1999999999999993</v>
      </c>
      <c r="I53">
        <v>11.4</v>
      </c>
    </row>
    <row r="54" spans="1:9">
      <c r="A54">
        <v>51</v>
      </c>
      <c r="G54">
        <v>976.5</v>
      </c>
      <c r="H54">
        <v>11.2</v>
      </c>
      <c r="I54">
        <v>15.4</v>
      </c>
    </row>
    <row r="55" spans="1:9">
      <c r="A55">
        <v>52</v>
      </c>
      <c r="G55">
        <v>817.4</v>
      </c>
      <c r="H55">
        <v>18.899999999999999</v>
      </c>
      <c r="I55">
        <v>23</v>
      </c>
    </row>
    <row r="56" spans="1:9">
      <c r="A56">
        <v>53</v>
      </c>
      <c r="G56">
        <v>1752.6</v>
      </c>
      <c r="H56">
        <v>4.0999999999999996</v>
      </c>
      <c r="I56">
        <v>4.8</v>
      </c>
    </row>
    <row r="57" spans="1:9">
      <c r="A57">
        <v>54</v>
      </c>
      <c r="G57">
        <v>1631.8</v>
      </c>
      <c r="H57">
        <v>5.4</v>
      </c>
      <c r="I57">
        <v>6</v>
      </c>
    </row>
    <row r="58" spans="1:9">
      <c r="A58">
        <v>55</v>
      </c>
      <c r="G58">
        <v>1405.8</v>
      </c>
      <c r="H58">
        <v>4.4000000000000004</v>
      </c>
      <c r="I58">
        <v>5.5</v>
      </c>
    </row>
    <row r="59" spans="1:9">
      <c r="A59">
        <v>56</v>
      </c>
      <c r="B59">
        <v>0.82</v>
      </c>
      <c r="C59">
        <v>0.03</v>
      </c>
      <c r="D59">
        <v>0</v>
      </c>
      <c r="E59">
        <v>2.0099999999999998</v>
      </c>
      <c r="F59">
        <v>97.14</v>
      </c>
      <c r="G59">
        <v>1104.4000000000001</v>
      </c>
      <c r="H59">
        <v>14.6</v>
      </c>
      <c r="I59">
        <v>20</v>
      </c>
    </row>
    <row r="60" spans="1:9">
      <c r="A60">
        <v>57</v>
      </c>
      <c r="G60">
        <v>2010.6</v>
      </c>
      <c r="H60">
        <v>1.9</v>
      </c>
      <c r="I60">
        <v>3.5</v>
      </c>
    </row>
    <row r="61" spans="1:9">
      <c r="A61">
        <v>58</v>
      </c>
      <c r="G61">
        <v>1188.5999999999999</v>
      </c>
      <c r="H61">
        <v>10.3</v>
      </c>
      <c r="I61">
        <v>13.9</v>
      </c>
    </row>
    <row r="62" spans="1:9">
      <c r="A62">
        <v>59</v>
      </c>
      <c r="G62">
        <v>1050.8</v>
      </c>
      <c r="H62">
        <v>12.5</v>
      </c>
      <c r="I62">
        <v>16.3</v>
      </c>
    </row>
    <row r="63" spans="1:9">
      <c r="A63">
        <v>60</v>
      </c>
      <c r="G63">
        <v>859.8</v>
      </c>
      <c r="H63">
        <v>17.100000000000001</v>
      </c>
      <c r="I63">
        <v>21.3</v>
      </c>
    </row>
    <row r="64" spans="1:9">
      <c r="A64">
        <v>61</v>
      </c>
      <c r="G64">
        <v>1929.7</v>
      </c>
      <c r="H64">
        <v>6.1</v>
      </c>
      <c r="I64">
        <v>7.3</v>
      </c>
    </row>
    <row r="65" spans="1:11">
      <c r="A65">
        <v>62</v>
      </c>
      <c r="G65">
        <v>1840.1</v>
      </c>
      <c r="H65">
        <v>7.3</v>
      </c>
      <c r="I65">
        <v>8.3000000000000007</v>
      </c>
    </row>
    <row r="66" spans="1:11">
      <c r="A66">
        <v>63</v>
      </c>
      <c r="G66">
        <v>1577.7</v>
      </c>
      <c r="H66">
        <v>5.5</v>
      </c>
      <c r="I66">
        <v>6.8</v>
      </c>
    </row>
    <row r="67" spans="1:11">
      <c r="A67">
        <v>64</v>
      </c>
      <c r="B67">
        <v>0.79</v>
      </c>
      <c r="C67">
        <v>2</v>
      </c>
      <c r="D67">
        <v>0</v>
      </c>
      <c r="E67">
        <v>1</v>
      </c>
      <c r="F67">
        <f>100-B67-C67-D67-E67</f>
        <v>96.21</v>
      </c>
      <c r="G67">
        <v>1182</v>
      </c>
      <c r="H67">
        <v>11.4</v>
      </c>
      <c r="I67">
        <v>15.8</v>
      </c>
    </row>
    <row r="68" spans="1:11">
      <c r="A68">
        <v>65</v>
      </c>
      <c r="G68">
        <v>1936.4</v>
      </c>
      <c r="H68">
        <v>1.6</v>
      </c>
      <c r="I68">
        <v>3.9</v>
      </c>
    </row>
    <row r="69" spans="1:11">
      <c r="A69">
        <v>66</v>
      </c>
      <c r="G69">
        <v>1549.2</v>
      </c>
      <c r="H69">
        <v>9.4</v>
      </c>
      <c r="I69">
        <v>11.7</v>
      </c>
    </row>
    <row r="70" spans="1:11">
      <c r="A70">
        <v>67</v>
      </c>
      <c r="G70">
        <v>1204.5</v>
      </c>
      <c r="H70">
        <v>8.1999999999999993</v>
      </c>
      <c r="I70">
        <v>11.1</v>
      </c>
    </row>
    <row r="71" spans="1:11">
      <c r="A71">
        <v>68</v>
      </c>
      <c r="G71">
        <v>976.5</v>
      </c>
      <c r="H71">
        <v>12</v>
      </c>
      <c r="I71">
        <v>16.3</v>
      </c>
    </row>
    <row r="72" spans="1:11">
      <c r="A72">
        <v>69</v>
      </c>
      <c r="G72">
        <v>1914.1</v>
      </c>
      <c r="H72">
        <v>5.4</v>
      </c>
      <c r="I72">
        <v>6.8</v>
      </c>
    </row>
    <row r="73" spans="1:11">
      <c r="A73">
        <v>70</v>
      </c>
      <c r="G73">
        <v>1923.4</v>
      </c>
      <c r="H73">
        <v>6</v>
      </c>
      <c r="I73">
        <v>7.1</v>
      </c>
    </row>
    <row r="74" spans="1:11">
      <c r="A74">
        <v>71</v>
      </c>
      <c r="G74">
        <v>1702.7</v>
      </c>
      <c r="H74">
        <v>6.1</v>
      </c>
      <c r="I74">
        <v>6.9</v>
      </c>
    </row>
    <row r="75" spans="1:11">
      <c r="A75">
        <v>72</v>
      </c>
      <c r="B75">
        <v>1.6299999999999999E-2</v>
      </c>
      <c r="C75">
        <v>24.3</v>
      </c>
      <c r="D75">
        <v>0</v>
      </c>
      <c r="E75">
        <v>0</v>
      </c>
      <c r="F75">
        <f t="shared" ref="F75:F77" si="1">100-B75-C75-D75-E75</f>
        <v>75.683700000000002</v>
      </c>
      <c r="G75">
        <v>786.43502962040759</v>
      </c>
      <c r="H75">
        <v>40.494759056359378</v>
      </c>
      <c r="J75" t="s">
        <v>325</v>
      </c>
      <c r="K75" t="s">
        <v>326</v>
      </c>
    </row>
    <row r="76" spans="1:11">
      <c r="A76">
        <v>73</v>
      </c>
      <c r="B76">
        <v>1.6E-2</v>
      </c>
      <c r="C76">
        <v>30.79</v>
      </c>
      <c r="D76">
        <v>0</v>
      </c>
      <c r="E76">
        <v>0</v>
      </c>
      <c r="F76">
        <f t="shared" si="1"/>
        <v>69.193999999999988</v>
      </c>
      <c r="G76">
        <v>490.93587150090661</v>
      </c>
      <c r="H76">
        <v>44.051400814921713</v>
      </c>
    </row>
    <row r="77" spans="1:11">
      <c r="A77">
        <v>74</v>
      </c>
      <c r="B77">
        <v>1.5</v>
      </c>
      <c r="C77">
        <v>0.5</v>
      </c>
      <c r="D77">
        <v>1.6</v>
      </c>
      <c r="E77">
        <v>0</v>
      </c>
      <c r="F77">
        <f t="shared" si="1"/>
        <v>96.4</v>
      </c>
      <c r="G77">
        <v>1041.8</v>
      </c>
      <c r="H77">
        <v>9.6</v>
      </c>
      <c r="I77">
        <v>11.7</v>
      </c>
      <c r="J77" t="s">
        <v>327</v>
      </c>
      <c r="K77" t="s">
        <v>328</v>
      </c>
    </row>
    <row r="78" spans="1:11">
      <c r="A78">
        <v>75</v>
      </c>
      <c r="G78">
        <v>1205</v>
      </c>
      <c r="H78">
        <v>11</v>
      </c>
      <c r="I78">
        <v>15</v>
      </c>
    </row>
    <row r="79" spans="1:11">
      <c r="A79">
        <v>76</v>
      </c>
      <c r="G79">
        <v>1231.2</v>
      </c>
      <c r="H79">
        <v>8.1999999999999993</v>
      </c>
      <c r="I79">
        <v>9.9</v>
      </c>
    </row>
    <row r="80" spans="1:11">
      <c r="A80">
        <v>77</v>
      </c>
      <c r="G80">
        <v>1374.2</v>
      </c>
      <c r="H80">
        <v>6.6</v>
      </c>
      <c r="I80">
        <v>7.1</v>
      </c>
    </row>
    <row r="81" spans="1:11">
      <c r="A81">
        <v>78</v>
      </c>
      <c r="G81">
        <v>1460</v>
      </c>
      <c r="H81">
        <v>6.4</v>
      </c>
      <c r="I81">
        <v>7.1</v>
      </c>
    </row>
    <row r="82" spans="1:11">
      <c r="A82">
        <v>79</v>
      </c>
      <c r="G82">
        <v>1527</v>
      </c>
      <c r="H82">
        <v>4.9000000000000004</v>
      </c>
      <c r="I82">
        <v>5.0999999999999996</v>
      </c>
    </row>
    <row r="83" spans="1:11">
      <c r="A83">
        <v>80</v>
      </c>
      <c r="B83">
        <v>1.8</v>
      </c>
      <c r="C83">
        <v>0.5</v>
      </c>
      <c r="D83">
        <v>1.6</v>
      </c>
      <c r="E83">
        <v>0</v>
      </c>
      <c r="F83">
        <f>100-B83-C83-D83-E83</f>
        <v>96.100000000000009</v>
      </c>
      <c r="G83">
        <v>857.1</v>
      </c>
      <c r="H83">
        <v>10.5</v>
      </c>
      <c r="I83">
        <v>13.1</v>
      </c>
    </row>
    <row r="84" spans="1:11">
      <c r="A84">
        <v>81</v>
      </c>
      <c r="G84">
        <v>1131</v>
      </c>
      <c r="H84">
        <v>9.1</v>
      </c>
      <c r="I84">
        <v>13.4</v>
      </c>
    </row>
    <row r="85" spans="1:11">
      <c r="A85">
        <v>82</v>
      </c>
      <c r="G85">
        <v>1290.5</v>
      </c>
      <c r="H85">
        <v>5.7</v>
      </c>
      <c r="I85">
        <v>6.1</v>
      </c>
    </row>
    <row r="86" spans="1:11">
      <c r="A86">
        <v>83</v>
      </c>
      <c r="G86">
        <v>1376.2</v>
      </c>
      <c r="H86">
        <v>6.6</v>
      </c>
      <c r="I86">
        <v>9</v>
      </c>
    </row>
    <row r="87" spans="1:11">
      <c r="A87">
        <v>84</v>
      </c>
      <c r="B87">
        <v>1.7999999999999999E-2</v>
      </c>
      <c r="C87">
        <v>31.6</v>
      </c>
      <c r="D87">
        <v>0</v>
      </c>
      <c r="E87">
        <v>6.45</v>
      </c>
      <c r="F87">
        <f>100-B87-C87-D87-E87</f>
        <v>61.932000000000002</v>
      </c>
      <c r="G87">
        <v>695</v>
      </c>
      <c r="H87">
        <v>20</v>
      </c>
      <c r="I87">
        <v>20</v>
      </c>
      <c r="J87" t="s">
        <v>329</v>
      </c>
      <c r="K87" t="s">
        <v>330</v>
      </c>
    </row>
    <row r="88" spans="1:11">
      <c r="A88">
        <v>85</v>
      </c>
      <c r="G88">
        <v>710</v>
      </c>
      <c r="H88">
        <v>27</v>
      </c>
      <c r="I88">
        <v>27</v>
      </c>
    </row>
    <row r="89" spans="1:11">
      <c r="A89">
        <v>86</v>
      </c>
      <c r="B89">
        <v>1E-3</v>
      </c>
      <c r="C89">
        <v>19.8</v>
      </c>
      <c r="D89">
        <v>0</v>
      </c>
      <c r="E89">
        <v>0</v>
      </c>
      <c r="F89">
        <f>100-B89-C89-D89-E89</f>
        <v>80.198999999999998</v>
      </c>
      <c r="G89">
        <v>692</v>
      </c>
      <c r="H89">
        <v>27.4</v>
      </c>
      <c r="I89">
        <v>28.2</v>
      </c>
      <c r="J89" t="s">
        <v>312</v>
      </c>
      <c r="K89" t="s">
        <v>336</v>
      </c>
    </row>
    <row r="90" spans="1:11">
      <c r="A90">
        <v>87</v>
      </c>
      <c r="B90">
        <v>2E-3</v>
      </c>
      <c r="C90">
        <v>28.4</v>
      </c>
      <c r="D90">
        <v>0</v>
      </c>
      <c r="E90">
        <v>0</v>
      </c>
      <c r="F90">
        <f t="shared" ref="F90:F92" si="2">100-B90-C90-D90-E90</f>
        <v>71.598000000000013</v>
      </c>
      <c r="G90">
        <v>594</v>
      </c>
      <c r="H90">
        <v>45.7</v>
      </c>
      <c r="I90">
        <v>50</v>
      </c>
    </row>
    <row r="91" spans="1:11">
      <c r="A91">
        <v>88</v>
      </c>
      <c r="B91">
        <v>1E-3</v>
      </c>
      <c r="C91">
        <v>32.299999999999997</v>
      </c>
      <c r="D91">
        <v>0</v>
      </c>
      <c r="E91">
        <v>0</v>
      </c>
      <c r="F91">
        <f t="shared" si="2"/>
        <v>67.698999999999998</v>
      </c>
      <c r="G91">
        <v>430</v>
      </c>
      <c r="H91">
        <v>41.5</v>
      </c>
      <c r="I91">
        <v>47.5</v>
      </c>
    </row>
    <row r="92" spans="1:11">
      <c r="A92">
        <v>89</v>
      </c>
      <c r="B92">
        <v>2E-3</v>
      </c>
      <c r="C92">
        <v>39.700000000000003</v>
      </c>
      <c r="D92">
        <v>0</v>
      </c>
      <c r="E92">
        <v>0</v>
      </c>
      <c r="F92">
        <f t="shared" si="2"/>
        <v>60.298000000000002</v>
      </c>
      <c r="G92">
        <v>419</v>
      </c>
      <c r="H92">
        <v>39.200000000000003</v>
      </c>
      <c r="I92">
        <v>46</v>
      </c>
    </row>
    <row r="93" spans="1:11">
      <c r="A93">
        <v>90</v>
      </c>
      <c r="B93">
        <v>3.35</v>
      </c>
      <c r="C93">
        <v>0.3</v>
      </c>
      <c r="D93">
        <v>0</v>
      </c>
      <c r="E93">
        <v>2.25</v>
      </c>
      <c r="F93">
        <v>94.100000000000009</v>
      </c>
      <c r="G93">
        <v>390</v>
      </c>
      <c r="H93">
        <v>19</v>
      </c>
      <c r="I93">
        <v>23</v>
      </c>
      <c r="K93" t="s">
        <v>343</v>
      </c>
    </row>
    <row r="94" spans="1:11">
      <c r="A94">
        <v>91</v>
      </c>
      <c r="B94">
        <v>3.41</v>
      </c>
      <c r="C94">
        <v>0.12</v>
      </c>
      <c r="D94">
        <v>0</v>
      </c>
      <c r="E94">
        <v>3.2</v>
      </c>
      <c r="F94">
        <v>93.27</v>
      </c>
      <c r="G94">
        <v>470</v>
      </c>
      <c r="H94">
        <v>13</v>
      </c>
      <c r="I94">
        <v>14</v>
      </c>
    </row>
    <row r="95" spans="1:11">
      <c r="A95">
        <v>92</v>
      </c>
      <c r="B95">
        <v>1.58</v>
      </c>
      <c r="C95">
        <v>0.43</v>
      </c>
      <c r="D95">
        <v>1.65</v>
      </c>
      <c r="E95">
        <v>0.4</v>
      </c>
      <c r="F95">
        <v>95.939999999999984</v>
      </c>
      <c r="G95">
        <v>1467.5461299999999</v>
      </c>
      <c r="H95">
        <v>8.6821599999999997</v>
      </c>
      <c r="I95">
        <v>11</v>
      </c>
      <c r="K95" t="s">
        <v>344</v>
      </c>
    </row>
    <row r="96" spans="1:11">
      <c r="A96">
        <v>93</v>
      </c>
      <c r="G96">
        <v>930</v>
      </c>
      <c r="H96">
        <v>12.72007</v>
      </c>
      <c r="I96">
        <v>19</v>
      </c>
    </row>
    <row r="97" spans="1:11">
      <c r="A97">
        <v>94</v>
      </c>
      <c r="B97">
        <v>1.58</v>
      </c>
      <c r="C97">
        <v>0.43</v>
      </c>
      <c r="D97">
        <v>1.65</v>
      </c>
      <c r="E97">
        <v>0.4</v>
      </c>
      <c r="F97">
        <v>95.939999999999984</v>
      </c>
      <c r="G97">
        <v>1471.87</v>
      </c>
      <c r="H97">
        <v>9.81</v>
      </c>
      <c r="I97">
        <v>12.5</v>
      </c>
      <c r="K97" t="s">
        <v>345</v>
      </c>
    </row>
    <row r="98" spans="1:11">
      <c r="A98">
        <v>95</v>
      </c>
      <c r="B98">
        <v>1.5</v>
      </c>
      <c r="C98">
        <v>0</v>
      </c>
      <c r="D98">
        <v>1</v>
      </c>
      <c r="E98">
        <v>0</v>
      </c>
      <c r="F98">
        <v>97.5</v>
      </c>
      <c r="G98">
        <v>970</v>
      </c>
      <c r="H98">
        <v>7.7</v>
      </c>
      <c r="I98">
        <v>13.46</v>
      </c>
      <c r="K98" t="s">
        <v>346</v>
      </c>
    </row>
    <row r="99" spans="1:11">
      <c r="A99">
        <v>96</v>
      </c>
      <c r="B99">
        <v>1.7</v>
      </c>
      <c r="C99">
        <v>0</v>
      </c>
      <c r="D99">
        <v>1.5</v>
      </c>
      <c r="E99">
        <v>0</v>
      </c>
      <c r="F99">
        <v>96.8</v>
      </c>
      <c r="G99">
        <v>1100</v>
      </c>
      <c r="H99">
        <v>10.65141</v>
      </c>
      <c r="I99">
        <v>12.76</v>
      </c>
    </row>
    <row r="100" spans="1:11">
      <c r="A100">
        <v>97</v>
      </c>
      <c r="G100">
        <v>1050</v>
      </c>
      <c r="H100">
        <v>10</v>
      </c>
      <c r="I100">
        <v>14</v>
      </c>
    </row>
    <row r="101" spans="1:11">
      <c r="A101">
        <v>98</v>
      </c>
      <c r="B101">
        <v>1.47</v>
      </c>
      <c r="C101">
        <v>0</v>
      </c>
      <c r="D101">
        <v>0</v>
      </c>
      <c r="E101">
        <v>0</v>
      </c>
      <c r="F101">
        <v>98.53</v>
      </c>
      <c r="G101">
        <v>462.66565000000003</v>
      </c>
      <c r="H101">
        <v>3.86809</v>
      </c>
      <c r="I101">
        <v>4.34328</v>
      </c>
      <c r="K101" t="s">
        <v>347</v>
      </c>
    </row>
    <row r="102" spans="1:11">
      <c r="A102">
        <v>99</v>
      </c>
      <c r="B102">
        <v>1.48</v>
      </c>
      <c r="C102">
        <v>0</v>
      </c>
      <c r="D102">
        <v>0</v>
      </c>
      <c r="E102">
        <v>0</v>
      </c>
      <c r="F102">
        <v>98.52</v>
      </c>
      <c r="G102">
        <v>399.01409000000001</v>
      </c>
      <c r="H102">
        <v>5.4922399999999998</v>
      </c>
      <c r="I102">
        <v>6.6837499999999999</v>
      </c>
    </row>
    <row r="103" spans="1:11">
      <c r="A103">
        <v>100</v>
      </c>
      <c r="B103">
        <v>1.64</v>
      </c>
      <c r="C103">
        <v>0</v>
      </c>
      <c r="D103">
        <v>0</v>
      </c>
      <c r="E103">
        <v>0</v>
      </c>
      <c r="F103">
        <v>98.36</v>
      </c>
      <c r="G103">
        <v>430.83987000000002</v>
      </c>
      <c r="H103">
        <v>3.1943199999999998</v>
      </c>
      <c r="I103">
        <v>4.3220000000000001</v>
      </c>
    </row>
    <row r="104" spans="1:11">
      <c r="A104">
        <v>101</v>
      </c>
      <c r="B104">
        <v>1.64</v>
      </c>
      <c r="C104">
        <v>0</v>
      </c>
      <c r="D104">
        <v>0</v>
      </c>
      <c r="E104">
        <v>0</v>
      </c>
      <c r="F104">
        <v>98.36</v>
      </c>
      <c r="G104">
        <v>761.22181999999998</v>
      </c>
      <c r="H104">
        <v>12.155480000000001</v>
      </c>
      <c r="I104">
        <v>12.751239999999999</v>
      </c>
    </row>
    <row r="105" spans="1:11">
      <c r="A105">
        <v>102</v>
      </c>
      <c r="B105">
        <v>1.56</v>
      </c>
      <c r="C105">
        <v>0</v>
      </c>
      <c r="D105">
        <v>0</v>
      </c>
      <c r="E105">
        <v>0</v>
      </c>
      <c r="F105">
        <v>98.44</v>
      </c>
      <c r="G105">
        <v>767.66274999999996</v>
      </c>
      <c r="H105">
        <v>6.3645899999999997</v>
      </c>
      <c r="I105">
        <v>6.9993600000000002</v>
      </c>
    </row>
    <row r="106" spans="1:11">
      <c r="A106">
        <v>103</v>
      </c>
      <c r="B106">
        <v>1.8</v>
      </c>
      <c r="C106">
        <v>0</v>
      </c>
      <c r="D106">
        <v>2.6</v>
      </c>
      <c r="E106">
        <v>0</v>
      </c>
      <c r="F106">
        <v>95.600000000000009</v>
      </c>
      <c r="G106">
        <v>1010</v>
      </c>
      <c r="H106">
        <v>10.7</v>
      </c>
      <c r="I106">
        <v>12.8</v>
      </c>
      <c r="K106" t="s">
        <v>348</v>
      </c>
    </row>
    <row r="264" spans="11:11">
      <c r="K264" s="10"/>
    </row>
  </sheetData>
  <phoneticPr fontId="7" type="noConversion"/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medium Mn steels</vt:lpstr>
      <vt:lpstr>lightweight steels</vt:lpstr>
      <vt:lpstr>High Mn TRIP and TWIP</vt:lpstr>
      <vt:lpstr>DP steel</vt:lpstr>
      <vt:lpstr>TRIP steel</vt:lpstr>
      <vt:lpstr>Q&amp;P </vt:lpstr>
      <vt:lpstr>IF steel and Fe</vt:lpstr>
      <vt:lpstr>Fe and binary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2026-06-25T03:23:10Z</dcterms:modified>
</cp:coreProperties>
</file>