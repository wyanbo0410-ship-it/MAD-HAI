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/>
  <xr:revisionPtr revIDLastSave="0" documentId="13_ncr:1_{85ABB881-0D9C-384A-A5F6-9CBA46972F17}" xr6:coauthVersionLast="47" xr6:coauthVersionMax="47" xr10:uidLastSave="{00000000-0000-0000-0000-000000000000}"/>
  <bookViews>
    <workbookView xWindow="4360" yWindow="660" windowWidth="30200" windowHeight="21000" xr2:uid="{00000000-000D-0000-FFFF-FFFF00000000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J36" i="1"/>
  <c r="N36" i="1"/>
  <c r="J37" i="1"/>
  <c r="N37" i="1"/>
  <c r="N35" i="1"/>
  <c r="J35" i="1"/>
  <c r="N34" i="1"/>
  <c r="J34" i="1"/>
  <c r="N33" i="1"/>
  <c r="J33" i="1"/>
  <c r="N32" i="1"/>
  <c r="J32" i="1"/>
  <c r="N31" i="1"/>
  <c r="J31" i="1"/>
  <c r="N30" i="1"/>
  <c r="J30" i="1"/>
  <c r="F30" i="1"/>
  <c r="H24" i="1"/>
  <c r="H4" i="1"/>
  <c r="J24" i="1"/>
  <c r="J25" i="1"/>
  <c r="J26" i="1"/>
  <c r="J27" i="1"/>
  <c r="J28" i="1"/>
  <c r="J29" i="1"/>
  <c r="N29" i="1"/>
  <c r="F24" i="1"/>
  <c r="F4" i="1"/>
  <c r="N28" i="1"/>
  <c r="N27" i="1"/>
  <c r="N26" i="1"/>
  <c r="N25" i="1"/>
  <c r="N24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J19" i="1" l="1"/>
  <c r="J20" i="1"/>
  <c r="J21" i="1"/>
  <c r="J22" i="1"/>
  <c r="J23" i="1"/>
  <c r="J13" i="1"/>
  <c r="J14" i="1"/>
  <c r="J15" i="1"/>
  <c r="J5" i="1" l="1"/>
  <c r="J6" i="1"/>
  <c r="J7" i="1"/>
  <c r="J8" i="1"/>
  <c r="J16" i="1"/>
  <c r="J17" i="1"/>
  <c r="J18" i="1"/>
  <c r="J9" i="1"/>
  <c r="J10" i="1"/>
  <c r="J11" i="1"/>
  <c r="J12" i="1"/>
  <c r="J4" i="1"/>
</calcChain>
</file>

<file path=xl/sharedStrings.xml><?xml version="1.0" encoding="utf-8"?>
<sst xmlns="http://schemas.openxmlformats.org/spreadsheetml/2006/main" count="23" uniqueCount="23">
  <si>
    <t>No.</t>
  </si>
  <si>
    <t>Bulk Composition, in wt.%</t>
  </si>
  <si>
    <t>C</t>
  </si>
  <si>
    <t>Mn</t>
  </si>
  <si>
    <t>Al</t>
  </si>
  <si>
    <t>Si</t>
  </si>
  <si>
    <t>Fe</t>
  </si>
  <si>
    <t>Tensile Property</t>
  </si>
  <si>
    <t>UTS (MPa)</t>
  </si>
  <si>
    <t>Uniform elongation (%)</t>
  </si>
  <si>
    <t>Total elongation (%)</t>
  </si>
  <si>
    <t>Annealing Condition</t>
  </si>
  <si>
    <t>Temperature (C)</t>
  </si>
  <si>
    <t>Time (min)</t>
  </si>
  <si>
    <t>Cold deformed samples, for testing</t>
  </si>
  <si>
    <t>CR500</t>
  </si>
  <si>
    <t>CR650</t>
  </si>
  <si>
    <t>UTS*UE</t>
  </si>
  <si>
    <t>CR700</t>
  </si>
  <si>
    <t>SDI</t>
    <phoneticPr fontId="6" type="noConversion"/>
  </si>
  <si>
    <t>Pred SDI</t>
    <phoneticPr fontId="6" type="noConversion"/>
  </si>
  <si>
    <t>Processing</t>
    <phoneticPr fontId="6" type="noConversion"/>
  </si>
  <si>
    <t>Exp SDI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</si>
</sst>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name val="等线"/>
      <family val="2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2"/>
    <xf numFmtId="0" fontId="1" fillId="0" borderId="2"/>
    <xf numFmtId="0" fontId="5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/>
    <xf numFmtId="0" fontId="3" fillId="2" borderId="1" xfId="1" applyFont="1"/>
    <xf numFmtId="0" fontId="4" fillId="2" borderId="1" xfId="1" applyFont="1"/>
    <xf numFmtId="1" fontId="3" fillId="2" borderId="1" xfId="1" applyNumberFormat="1" applyFont="1"/>
    <xf numFmtId="176" fontId="3" fillId="2" borderId="1" xfId="1" applyNumberFormat="1" applyFont="1"/>
    <xf numFmtId="1" fontId="4" fillId="2" borderId="1" xfId="1" applyNumberFormat="1" applyFont="1"/>
    <xf numFmtId="176" fontId="4" fillId="2" borderId="1" xfId="1" applyNumberFormat="1" applyFont="1"/>
    <xf numFmtId="0" fontId="1" fillId="0" borderId="2" xfId="2"/>
    <xf numFmtId="0" fontId="0" fillId="3" borderId="0" xfId="0" applyFill="1"/>
    <xf numFmtId="0" fontId="1" fillId="3" borderId="2" xfId="2" applyFill="1"/>
    <xf numFmtId="0" fontId="5" fillId="0" borderId="0" xfId="5">
      <alignment vertical="center"/>
    </xf>
    <xf numFmtId="0" fontId="5" fillId="3" borderId="0" xfId="5" applyFill="1">
      <alignment vertical="center"/>
    </xf>
  </cellXfs>
  <cellStyles count="6">
    <cellStyle name="Style 2" xfId="2" xr:uid="{00000000-0005-0000-0000-000003000000}"/>
    <cellStyle name="Style 3" xfId="3" xr:uid="{00000000-0005-0000-0000-000004000000}"/>
    <cellStyle name="常规" xfId="0" builtinId="0"/>
    <cellStyle name="常规 10" xfId="5" xr:uid="{00000000-0005-0000-0000-000005000000}"/>
    <cellStyle name="常规 3" xfId="4" xr:uid="{00000000-0005-0000-0000-000006000000}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>
      <selection activeCell="H32" activeCellId="2" sqref="H6 H26 H32"/>
    </sheetView>
  </sheetViews>
  <sheetFormatPr baseColWidth="10" defaultColWidth="8.83203125" defaultRowHeight="15"/>
  <cols>
    <col min="9" max="9" width="15.33203125" customWidth="1"/>
    <col min="10" max="10" width="26.83203125" bestFit="1" customWidth="1"/>
    <col min="11" max="12" width="22.1640625" bestFit="1" customWidth="1"/>
    <col min="13" max="13" width="19.1640625" bestFit="1" customWidth="1"/>
    <col min="15" max="15" width="15.6640625" bestFit="1" customWidth="1"/>
    <col min="16" max="16" width="19.5" bestFit="1" customWidth="1"/>
  </cols>
  <sheetData>
    <row r="1" spans="1:16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1"/>
      <c r="O1" s="1"/>
      <c r="P1" s="1"/>
    </row>
    <row r="2" spans="1:16">
      <c r="A2" s="1" t="s">
        <v>0</v>
      </c>
      <c r="B2" s="1"/>
      <c r="C2" s="1" t="s">
        <v>1</v>
      </c>
      <c r="D2" s="1"/>
      <c r="E2" s="1"/>
      <c r="F2" s="1"/>
      <c r="G2" s="1"/>
      <c r="H2" s="1"/>
      <c r="I2" s="1" t="s">
        <v>21</v>
      </c>
      <c r="J2" s="1" t="s">
        <v>17</v>
      </c>
      <c r="K2" s="3"/>
      <c r="L2" s="4" t="s">
        <v>7</v>
      </c>
      <c r="M2" s="4"/>
      <c r="N2" s="1"/>
      <c r="O2" s="1"/>
      <c r="P2" s="1" t="s">
        <v>11</v>
      </c>
    </row>
    <row r="3" spans="1:16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20</v>
      </c>
      <c r="H3" s="2" t="s">
        <v>22</v>
      </c>
      <c r="I3" s="2"/>
      <c r="J3" s="2"/>
      <c r="K3" s="5" t="s">
        <v>8</v>
      </c>
      <c r="L3" s="6" t="s">
        <v>9</v>
      </c>
      <c r="M3" s="6" t="s">
        <v>10</v>
      </c>
      <c r="N3" s="2" t="s">
        <v>19</v>
      </c>
      <c r="O3" s="2" t="s">
        <v>12</v>
      </c>
      <c r="P3" s="2" t="s">
        <v>13</v>
      </c>
    </row>
    <row r="4" spans="1:16" s="8" customFormat="1">
      <c r="A4" s="8">
        <v>1</v>
      </c>
      <c r="B4" s="9">
        <v>0.19</v>
      </c>
      <c r="C4" s="9">
        <v>10.41</v>
      </c>
      <c r="D4" s="9">
        <v>2.85</v>
      </c>
      <c r="E4" s="9">
        <v>0.02</v>
      </c>
      <c r="F4" s="9">
        <f>100-B4-C4-D4-E4</f>
        <v>86.530000000000015</v>
      </c>
      <c r="G4" s="8">
        <v>8.0294762706756497</v>
      </c>
      <c r="H4" s="8">
        <f>AVERAGE(N4:N23)</f>
        <v>8.1852525460091314</v>
      </c>
      <c r="I4" s="8" t="s">
        <v>16</v>
      </c>
      <c r="J4" s="8">
        <f>K4*L4/1000</f>
        <v>14.695719773009477</v>
      </c>
      <c r="K4" s="9">
        <v>942.94507745736917</v>
      </c>
      <c r="L4" s="9">
        <v>15.58491594509</v>
      </c>
      <c r="M4" s="9">
        <v>23.552306000000002</v>
      </c>
      <c r="N4" s="9">
        <f t="shared" ref="N4:N23" si="0">K4/196.79236094703+L4/12.2512667870241</f>
        <v>6.0636800662824673</v>
      </c>
      <c r="O4" s="9">
        <v>700</v>
      </c>
      <c r="P4" s="9">
        <v>5</v>
      </c>
    </row>
    <row r="5" spans="1:16">
      <c r="B5" s="7"/>
      <c r="C5" s="7"/>
      <c r="D5" s="7"/>
      <c r="E5" s="7"/>
      <c r="F5" s="7"/>
      <c r="J5" s="10">
        <f t="shared" ref="J5:J8" si="1">K5*L5/1000</f>
        <v>42.308072001073008</v>
      </c>
      <c r="K5" s="7">
        <v>1129.1185482005071</v>
      </c>
      <c r="L5" s="7">
        <v>37.470000000000006</v>
      </c>
      <c r="M5" s="7">
        <v>39.946072000000001</v>
      </c>
      <c r="N5" s="7">
        <f t="shared" si="0"/>
        <v>8.7960729413471501</v>
      </c>
      <c r="O5" s="7">
        <v>725</v>
      </c>
      <c r="P5" s="7">
        <v>5</v>
      </c>
    </row>
    <row r="6" spans="1:16">
      <c r="B6" s="7"/>
      <c r="C6" s="7"/>
      <c r="D6" s="7"/>
      <c r="E6" s="7"/>
      <c r="F6" s="7"/>
      <c r="J6" s="10">
        <f t="shared" si="1"/>
        <v>36.628949173339727</v>
      </c>
      <c r="K6" s="7">
        <v>1141.1883021989374</v>
      </c>
      <c r="L6" s="7">
        <v>32.097199999999994</v>
      </c>
      <c r="M6" s="7">
        <v>34.838752800000002</v>
      </c>
      <c r="N6" s="7">
        <f t="shared" si="0"/>
        <v>8.4188548055186256</v>
      </c>
      <c r="O6" s="7">
        <v>750</v>
      </c>
      <c r="P6" s="7">
        <v>5</v>
      </c>
    </row>
    <row r="7" spans="1:16">
      <c r="B7" s="7"/>
      <c r="C7" s="7"/>
      <c r="D7" s="7"/>
      <c r="E7" s="7"/>
      <c r="F7" s="7"/>
      <c r="J7" s="10">
        <f t="shared" si="1"/>
        <v>25.090200282055307</v>
      </c>
      <c r="K7" s="7">
        <v>1476.0243716831078</v>
      </c>
      <c r="L7" s="7">
        <v>16.9985</v>
      </c>
      <c r="M7" s="7">
        <v>20.293616499999999</v>
      </c>
      <c r="N7" s="7">
        <f t="shared" si="0"/>
        <v>8.8879041495675999</v>
      </c>
      <c r="O7" s="7">
        <v>775</v>
      </c>
      <c r="P7" s="7">
        <v>5</v>
      </c>
    </row>
    <row r="8" spans="1:16">
      <c r="B8" s="7"/>
      <c r="C8" s="7"/>
      <c r="D8" s="7"/>
      <c r="E8" s="7"/>
      <c r="F8" s="7"/>
      <c r="J8" s="10">
        <f t="shared" si="1"/>
        <v>13.490993061358257</v>
      </c>
      <c r="K8" s="7">
        <v>1448.0752494346866</v>
      </c>
      <c r="L8" s="7">
        <v>9.3164999999999996</v>
      </c>
      <c r="M8" s="7">
        <v>12.423170499999999</v>
      </c>
      <c r="N8" s="7">
        <f t="shared" si="0"/>
        <v>8.1188435409806026</v>
      </c>
      <c r="O8" s="7">
        <v>800</v>
      </c>
      <c r="P8" s="7">
        <v>5</v>
      </c>
    </row>
    <row r="9" spans="1:16">
      <c r="B9" s="7"/>
      <c r="C9" s="7"/>
      <c r="D9" s="7"/>
      <c r="E9" s="7"/>
      <c r="F9" s="7"/>
      <c r="J9" s="10">
        <f>K9*L9/1000</f>
        <v>33.658559999999994</v>
      </c>
      <c r="K9" s="7">
        <v>967.2</v>
      </c>
      <c r="L9" s="7">
        <v>34.799999999999997</v>
      </c>
      <c r="M9" s="7">
        <v>41.6</v>
      </c>
      <c r="N9" s="7">
        <f t="shared" si="0"/>
        <v>7.7553475065104767</v>
      </c>
      <c r="O9" s="7">
        <v>710</v>
      </c>
      <c r="P9" s="7">
        <v>15</v>
      </c>
    </row>
    <row r="10" spans="1:16">
      <c r="B10" s="7"/>
      <c r="C10" s="7"/>
      <c r="D10" s="7"/>
      <c r="E10" s="7"/>
      <c r="F10" s="7"/>
      <c r="J10" s="10">
        <f>K10*L10/1000</f>
        <v>39.114280000000001</v>
      </c>
      <c r="K10" s="7">
        <v>1008.1</v>
      </c>
      <c r="L10" s="7">
        <v>38.799999999999997</v>
      </c>
      <c r="M10" s="7">
        <v>43.1</v>
      </c>
      <c r="N10" s="7">
        <f t="shared" si="0"/>
        <v>8.2896776259051599</v>
      </c>
      <c r="O10" s="7">
        <v>720</v>
      </c>
      <c r="P10" s="7">
        <v>15</v>
      </c>
    </row>
    <row r="11" spans="1:16">
      <c r="B11" s="7"/>
      <c r="C11" s="7"/>
      <c r="D11" s="7"/>
      <c r="E11" s="7"/>
      <c r="F11" s="7"/>
      <c r="J11" s="10">
        <f>K11*L11/1000</f>
        <v>44.575480000000006</v>
      </c>
      <c r="K11" s="7">
        <v>1058.8</v>
      </c>
      <c r="L11" s="7">
        <v>42.1</v>
      </c>
      <c r="M11" s="7">
        <v>44.9</v>
      </c>
      <c r="N11" s="7">
        <f t="shared" si="0"/>
        <v>8.8166694777258989</v>
      </c>
      <c r="O11" s="7">
        <v>730</v>
      </c>
      <c r="P11" s="7">
        <v>15</v>
      </c>
    </row>
    <row r="12" spans="1:16">
      <c r="B12" s="7"/>
      <c r="C12" s="7"/>
      <c r="D12" s="7"/>
      <c r="E12" s="7"/>
      <c r="F12" s="7"/>
      <c r="J12" s="10">
        <f>K12*L12/1000</f>
        <v>33.950700000000005</v>
      </c>
      <c r="K12" s="7">
        <v>1109.5</v>
      </c>
      <c r="L12" s="7">
        <v>30.6</v>
      </c>
      <c r="M12" s="7">
        <v>35.799999999999997</v>
      </c>
      <c r="N12" s="7">
        <f t="shared" si="0"/>
        <v>8.1356229889176177</v>
      </c>
      <c r="O12" s="7">
        <v>740</v>
      </c>
      <c r="P12" s="7">
        <v>15</v>
      </c>
    </row>
    <row r="13" spans="1:16">
      <c r="B13" s="7"/>
      <c r="C13" s="7"/>
      <c r="D13" s="7"/>
      <c r="E13" s="7"/>
      <c r="F13" s="7"/>
      <c r="I13" t="s">
        <v>15</v>
      </c>
      <c r="J13" s="10">
        <f t="shared" ref="J13:J15" si="2">K13*L13/1000</f>
        <v>23.620972371633773</v>
      </c>
      <c r="K13" s="7">
        <v>999.32192628649022</v>
      </c>
      <c r="L13" s="7">
        <v>23.637000000000004</v>
      </c>
      <c r="M13" s="7">
        <v>29.078651499999996</v>
      </c>
      <c r="N13" s="7">
        <f t="shared" si="0"/>
        <v>7.0074039317168468</v>
      </c>
      <c r="O13" s="7">
        <v>700</v>
      </c>
      <c r="P13" s="7">
        <v>5</v>
      </c>
    </row>
    <row r="14" spans="1:16">
      <c r="B14" s="7"/>
      <c r="C14" s="7"/>
      <c r="D14" s="7"/>
      <c r="E14" s="7"/>
      <c r="F14" s="7"/>
      <c r="J14" s="10">
        <f t="shared" si="2"/>
        <v>37.878710675490119</v>
      </c>
      <c r="K14" s="7">
        <v>1221.5852126233733</v>
      </c>
      <c r="L14" s="7">
        <v>31.00783333333333</v>
      </c>
      <c r="M14" s="7">
        <v>33.215940166666662</v>
      </c>
      <c r="N14" s="7">
        <f t="shared" si="0"/>
        <v>8.7384728537484406</v>
      </c>
      <c r="O14" s="7">
        <v>750</v>
      </c>
      <c r="P14" s="7">
        <v>5</v>
      </c>
    </row>
    <row r="15" spans="1:16">
      <c r="B15" s="7"/>
      <c r="C15" s="7"/>
      <c r="D15" s="7"/>
      <c r="E15" s="7"/>
      <c r="F15" s="7"/>
      <c r="J15" s="10">
        <f t="shared" si="2"/>
        <v>11.642828856938195</v>
      </c>
      <c r="K15" s="7">
        <v>1537.819159548038</v>
      </c>
      <c r="L15" s="7">
        <v>7.5709999999999997</v>
      </c>
      <c r="M15" s="7">
        <v>10.591158200000001</v>
      </c>
      <c r="N15" s="7">
        <f t="shared" si="0"/>
        <v>8.4324019835440893</v>
      </c>
      <c r="O15" s="7">
        <v>800</v>
      </c>
      <c r="P15" s="7">
        <v>5</v>
      </c>
    </row>
    <row r="16" spans="1:16">
      <c r="B16" s="7"/>
      <c r="C16" s="7"/>
      <c r="D16" s="7"/>
      <c r="E16" s="7"/>
      <c r="F16" s="7"/>
      <c r="J16" s="10">
        <f>K16*L16/1000</f>
        <v>35.981549999999999</v>
      </c>
      <c r="K16" s="7">
        <v>1211.5</v>
      </c>
      <c r="L16" s="7">
        <v>29.7</v>
      </c>
      <c r="M16" s="7">
        <v>30.6</v>
      </c>
      <c r="N16" s="7">
        <f t="shared" si="0"/>
        <v>8.5804739998589739</v>
      </c>
      <c r="O16" s="7">
        <v>750</v>
      </c>
      <c r="P16" s="7">
        <v>3</v>
      </c>
    </row>
    <row r="17" spans="1:16">
      <c r="B17" s="7"/>
      <c r="C17" s="7"/>
      <c r="D17" s="7"/>
      <c r="E17" s="7"/>
      <c r="F17" s="7"/>
      <c r="J17" s="10">
        <f>K17*L17/1000</f>
        <v>36.3489</v>
      </c>
      <c r="K17" s="7">
        <v>1275.4000000000001</v>
      </c>
      <c r="L17" s="7">
        <v>28.5</v>
      </c>
      <c r="M17" s="7">
        <v>30.7</v>
      </c>
      <c r="N17" s="7">
        <f t="shared" si="0"/>
        <v>8.8072326711255648</v>
      </c>
      <c r="O17" s="7">
        <v>750</v>
      </c>
      <c r="P17" s="7">
        <v>10</v>
      </c>
    </row>
    <row r="18" spans="1:16">
      <c r="B18" s="7"/>
      <c r="C18" s="7"/>
      <c r="D18" s="7"/>
      <c r="E18" s="7"/>
      <c r="F18" s="7"/>
      <c r="J18" s="10">
        <f>K18*L18/1000</f>
        <v>31.573599999999999</v>
      </c>
      <c r="K18" s="7">
        <v>1294</v>
      </c>
      <c r="L18" s="7">
        <v>24.4</v>
      </c>
      <c r="M18" s="7">
        <v>28.1</v>
      </c>
      <c r="N18" s="7">
        <f t="shared" si="0"/>
        <v>8.5670892649669863</v>
      </c>
      <c r="O18" s="7">
        <v>750</v>
      </c>
      <c r="P18" s="7">
        <v>30</v>
      </c>
    </row>
    <row r="19" spans="1:16">
      <c r="B19" s="7"/>
      <c r="C19" s="7"/>
      <c r="D19" s="7"/>
      <c r="E19" s="7"/>
      <c r="F19" s="7"/>
      <c r="I19" t="s">
        <v>18</v>
      </c>
      <c r="J19" s="10">
        <f t="shared" ref="J19:J25" si="3">K19*L19/1000</f>
        <v>19.94007590721348</v>
      </c>
      <c r="K19" s="7">
        <v>949.03031303667012</v>
      </c>
      <c r="L19" s="7">
        <v>21.011000000000003</v>
      </c>
      <c r="M19" s="7">
        <v>27.010864000000002</v>
      </c>
      <c r="N19" s="7">
        <f t="shared" si="0"/>
        <v>6.5375020154000421</v>
      </c>
      <c r="O19" s="7">
        <v>700</v>
      </c>
      <c r="P19" s="7">
        <v>5</v>
      </c>
    </row>
    <row r="20" spans="1:16">
      <c r="B20" s="7"/>
      <c r="C20" s="7"/>
      <c r="D20" s="7"/>
      <c r="E20" s="7"/>
      <c r="F20" s="7"/>
      <c r="J20" s="10">
        <f t="shared" si="3"/>
        <v>45.654339701889512</v>
      </c>
      <c r="K20" s="7">
        <v>1063.4972035335386</v>
      </c>
      <c r="L20" s="7">
        <v>42.9285</v>
      </c>
      <c r="M20" s="7">
        <v>44.814467499999999</v>
      </c>
      <c r="N20" s="7">
        <f t="shared" si="0"/>
        <v>8.9081639681716105</v>
      </c>
      <c r="O20" s="7">
        <v>725</v>
      </c>
      <c r="P20" s="7">
        <v>5</v>
      </c>
    </row>
    <row r="21" spans="1:16">
      <c r="B21" s="7"/>
      <c r="C21" s="7"/>
      <c r="D21" s="7"/>
      <c r="E21" s="7"/>
      <c r="F21" s="7"/>
      <c r="J21" s="10">
        <f t="shared" si="3"/>
        <v>38.6768270612286</v>
      </c>
      <c r="K21" s="7">
        <v>1180.0589994882919</v>
      </c>
      <c r="L21" s="7">
        <v>32.775333333333336</v>
      </c>
      <c r="M21" s="7">
        <v>34.787318333333332</v>
      </c>
      <c r="N21" s="7">
        <f t="shared" si="0"/>
        <v>8.6717282774142834</v>
      </c>
      <c r="O21" s="7">
        <v>750</v>
      </c>
      <c r="P21" s="7">
        <v>5</v>
      </c>
    </row>
    <row r="22" spans="1:16">
      <c r="B22" s="7"/>
      <c r="C22" s="7"/>
      <c r="D22" s="7"/>
      <c r="E22" s="7"/>
      <c r="F22" s="7"/>
      <c r="J22" s="10">
        <f t="shared" si="3"/>
        <v>20.167525262112541</v>
      </c>
      <c r="K22" s="7">
        <v>1311.8369442295209</v>
      </c>
      <c r="L22" s="7">
        <v>15.373500000000002</v>
      </c>
      <c r="M22" s="7">
        <v>17.2977785</v>
      </c>
      <c r="N22" s="7">
        <f t="shared" si="0"/>
        <v>7.920946710966227</v>
      </c>
      <c r="O22" s="7">
        <v>775</v>
      </c>
      <c r="P22" s="7">
        <v>5</v>
      </c>
    </row>
    <row r="23" spans="1:16">
      <c r="B23" s="7"/>
      <c r="C23" s="7"/>
      <c r="D23" s="7"/>
      <c r="E23" s="7"/>
      <c r="F23" s="7"/>
      <c r="J23" s="10">
        <f t="shared" si="3"/>
        <v>16.049939025758118</v>
      </c>
      <c r="K23" s="7">
        <v>1445.3544982446861</v>
      </c>
      <c r="L23" s="7">
        <v>11.1045</v>
      </c>
      <c r="M23" s="7">
        <v>11.95649585</v>
      </c>
      <c r="N23" s="7">
        <f t="shared" si="0"/>
        <v>8.2509621405139963</v>
      </c>
      <c r="O23" s="7">
        <v>800</v>
      </c>
      <c r="P23" s="7">
        <v>5</v>
      </c>
    </row>
    <row r="24" spans="1:16" s="8" customFormat="1">
      <c r="A24" s="8">
        <v>2</v>
      </c>
      <c r="B24" s="9">
        <v>1</v>
      </c>
      <c r="C24" s="9">
        <v>24</v>
      </c>
      <c r="D24" s="9">
        <v>10</v>
      </c>
      <c r="E24" s="9">
        <v>0</v>
      </c>
      <c r="F24" s="9">
        <f>100-B24-C24-D24-E24</f>
        <v>65</v>
      </c>
      <c r="G24" s="8">
        <v>7.9970406340000002</v>
      </c>
      <c r="H24" s="8">
        <f>AVERAGE(N24:N29)</f>
        <v>7.784033524176607</v>
      </c>
      <c r="J24" s="11">
        <f>K24*L24/1000</f>
        <v>3.1215010000000003</v>
      </c>
      <c r="K24" s="9">
        <v>1339.7</v>
      </c>
      <c r="L24" s="9">
        <v>2.33</v>
      </c>
      <c r="M24" s="9">
        <v>12.7</v>
      </c>
      <c r="N24" s="9">
        <f t="shared" ref="N24:N28" si="4">K24/196.79236094703+L24/12.2512667870241</f>
        <v>6.9978673628649446</v>
      </c>
      <c r="O24" s="9">
        <v>600</v>
      </c>
      <c r="P24" s="9">
        <v>15</v>
      </c>
    </row>
    <row r="25" spans="1:16">
      <c r="B25" s="7"/>
      <c r="C25" s="7"/>
      <c r="D25" s="7"/>
      <c r="E25" s="7"/>
      <c r="F25" s="7"/>
      <c r="J25" s="10">
        <f t="shared" si="3"/>
        <v>13.326319999999999</v>
      </c>
      <c r="K25" s="7">
        <v>1257.2</v>
      </c>
      <c r="L25" s="7">
        <v>10.6</v>
      </c>
      <c r="M25" s="7">
        <v>23.5</v>
      </c>
      <c r="N25" s="7">
        <f t="shared" si="4"/>
        <v>7.2536760080047848</v>
      </c>
      <c r="O25" s="7">
        <v>700</v>
      </c>
      <c r="P25" s="7">
        <v>15</v>
      </c>
    </row>
    <row r="26" spans="1:16">
      <c r="B26" s="7"/>
      <c r="C26" s="7"/>
      <c r="D26" s="7"/>
      <c r="E26" s="7"/>
      <c r="F26" s="7"/>
      <c r="J26" s="10">
        <f>K26*L26/1000</f>
        <v>22.60764</v>
      </c>
      <c r="K26" s="7">
        <v>1141.8</v>
      </c>
      <c r="L26" s="7">
        <v>19.8</v>
      </c>
      <c r="M26" s="7">
        <v>28.7</v>
      </c>
      <c r="N26" s="7">
        <f t="shared" si="4"/>
        <v>7.4182138843836789</v>
      </c>
      <c r="O26" s="7">
        <v>800</v>
      </c>
      <c r="P26" s="7">
        <v>15</v>
      </c>
    </row>
    <row r="27" spans="1:16">
      <c r="B27" s="7"/>
      <c r="C27" s="7"/>
      <c r="D27" s="7"/>
      <c r="E27" s="7"/>
      <c r="F27" s="7"/>
      <c r="J27" s="10">
        <f>K27*L27/1000</f>
        <v>34.122399999999999</v>
      </c>
      <c r="K27" s="7">
        <v>1003.6</v>
      </c>
      <c r="L27" s="7">
        <v>34</v>
      </c>
      <c r="M27" s="7">
        <v>39.299999999999997</v>
      </c>
      <c r="N27" s="7">
        <f t="shared" si="4"/>
        <v>7.8750146660613556</v>
      </c>
      <c r="O27" s="7">
        <v>850</v>
      </c>
      <c r="P27" s="7">
        <v>15</v>
      </c>
    </row>
    <row r="28" spans="1:16">
      <c r="B28" s="7"/>
      <c r="C28" s="7"/>
      <c r="D28" s="7"/>
      <c r="E28" s="7"/>
      <c r="F28" s="7"/>
      <c r="J28" s="10">
        <f>K28*L28/1000</f>
        <v>42.493360000000003</v>
      </c>
      <c r="K28" s="7">
        <v>946.4</v>
      </c>
      <c r="L28" s="7">
        <v>44.9</v>
      </c>
      <c r="M28" s="7">
        <v>60.3</v>
      </c>
      <c r="N28" s="7">
        <f t="shared" si="4"/>
        <v>8.4740568901692281</v>
      </c>
      <c r="O28" s="7">
        <v>900</v>
      </c>
      <c r="P28" s="7">
        <v>15</v>
      </c>
    </row>
    <row r="29" spans="1:16">
      <c r="B29" s="7"/>
      <c r="C29" s="7"/>
      <c r="D29" s="7"/>
      <c r="E29" s="7"/>
      <c r="F29" s="7"/>
      <c r="J29" s="10">
        <f>K29*L29/1000</f>
        <v>45.462180000000004</v>
      </c>
      <c r="K29" s="7">
        <v>864.3</v>
      </c>
      <c r="L29" s="7">
        <v>52.6</v>
      </c>
      <c r="M29" s="7">
        <v>68.599999999999994</v>
      </c>
      <c r="N29" s="7">
        <f t="shared" ref="N29:N34" si="5">K29/196.79236094703+L29/12.2512667870241</f>
        <v>8.6853723335756463</v>
      </c>
      <c r="O29" s="7">
        <v>1000</v>
      </c>
      <c r="P29" s="7">
        <v>15</v>
      </c>
    </row>
    <row r="30" spans="1:16" s="8" customFormat="1">
      <c r="A30" s="8">
        <v>3</v>
      </c>
      <c r="B30" s="9">
        <v>1.3</v>
      </c>
      <c r="C30" s="9">
        <v>16</v>
      </c>
      <c r="D30" s="9">
        <v>0</v>
      </c>
      <c r="E30" s="9">
        <v>0</v>
      </c>
      <c r="F30" s="9">
        <f>100-B30-C30-D30-E30</f>
        <v>82.7</v>
      </c>
      <c r="G30" s="8">
        <v>10.0235876750946</v>
      </c>
      <c r="H30" s="8">
        <f>AVERAGE(N30:N37)</f>
        <v>10.231813116600161</v>
      </c>
      <c r="J30" s="11">
        <f>K30*L30/1000</f>
        <v>6.3649279999999999</v>
      </c>
      <c r="K30" s="9">
        <v>1203.2</v>
      </c>
      <c r="L30" s="9">
        <v>5.29</v>
      </c>
      <c r="M30" s="9">
        <v>5.73</v>
      </c>
      <c r="N30" s="9">
        <f t="shared" si="5"/>
        <v>6.5458505460609642</v>
      </c>
      <c r="O30" s="9">
        <v>600</v>
      </c>
      <c r="P30" s="9">
        <v>15</v>
      </c>
    </row>
    <row r="31" spans="1:16">
      <c r="B31" s="7"/>
      <c r="C31" s="7"/>
      <c r="D31" s="7"/>
      <c r="E31" s="7"/>
      <c r="F31" s="7"/>
      <c r="J31" s="10">
        <f t="shared" ref="J31" si="6">K31*L31/1000</f>
        <v>50.459009999999999</v>
      </c>
      <c r="K31" s="7">
        <v>1044.7</v>
      </c>
      <c r="L31" s="7">
        <v>48.3</v>
      </c>
      <c r="M31" s="7">
        <v>48.4</v>
      </c>
      <c r="N31" s="7">
        <f t="shared" si="5"/>
        <v>9.2510904707756918</v>
      </c>
      <c r="O31" s="7">
        <v>700</v>
      </c>
      <c r="P31" s="7">
        <v>15</v>
      </c>
    </row>
    <row r="32" spans="1:16">
      <c r="B32" s="7"/>
      <c r="C32" s="7"/>
      <c r="D32" s="7"/>
      <c r="E32" s="7"/>
      <c r="F32" s="7"/>
      <c r="J32" s="10">
        <f>K32*L32/1000</f>
        <v>73.236000000000004</v>
      </c>
      <c r="K32" s="7">
        <v>1077</v>
      </c>
      <c r="L32" s="7">
        <v>68</v>
      </c>
      <c r="M32" s="7">
        <v>69.2</v>
      </c>
      <c r="N32" s="7">
        <f t="shared" si="5"/>
        <v>11.023219838483985</v>
      </c>
      <c r="O32" s="7">
        <v>750</v>
      </c>
      <c r="P32" s="7">
        <v>15</v>
      </c>
    </row>
    <row r="33" spans="2:16">
      <c r="B33" s="7"/>
      <c r="C33" s="7"/>
      <c r="D33" s="7"/>
      <c r="E33" s="7"/>
      <c r="F33" s="7"/>
      <c r="J33" s="10">
        <f>K33*L33/1000</f>
        <v>72.98060000000001</v>
      </c>
      <c r="K33" s="7">
        <v>1078</v>
      </c>
      <c r="L33" s="7">
        <v>67.7</v>
      </c>
      <c r="M33" s="7">
        <v>68.599999999999994</v>
      </c>
      <c r="N33" s="7">
        <f t="shared" si="5"/>
        <v>11.003814072880679</v>
      </c>
      <c r="O33" s="7">
        <v>800</v>
      </c>
      <c r="P33" s="7">
        <v>15</v>
      </c>
    </row>
    <row r="34" spans="2:16">
      <c r="B34" s="7"/>
      <c r="C34" s="7"/>
      <c r="D34" s="7"/>
      <c r="E34" s="7"/>
      <c r="F34" s="7"/>
      <c r="J34" s="10">
        <f>K34*L34/1000</f>
        <v>73.840410000000006</v>
      </c>
      <c r="K34" s="7">
        <v>1012.9</v>
      </c>
      <c r="L34" s="7">
        <v>72.900000000000006</v>
      </c>
      <c r="M34" s="7">
        <v>72.900000000000006</v>
      </c>
      <c r="N34" s="7">
        <f t="shared" si="5"/>
        <v>11.097454452763033</v>
      </c>
      <c r="O34" s="7">
        <v>900</v>
      </c>
      <c r="P34" s="7">
        <v>15</v>
      </c>
    </row>
    <row r="35" spans="2:16">
      <c r="B35" s="7"/>
      <c r="C35" s="7"/>
      <c r="D35" s="7"/>
      <c r="E35" s="7"/>
      <c r="F35" s="7"/>
      <c r="J35" s="10">
        <f>K35*L35/1000</f>
        <v>75.397800000000004</v>
      </c>
      <c r="K35" s="7">
        <v>948.4</v>
      </c>
      <c r="L35" s="7">
        <v>79.5</v>
      </c>
      <c r="M35" s="7">
        <v>80.3</v>
      </c>
      <c r="N35" s="7">
        <f t="shared" ref="N35" si="7">K35/196.79236094703+L35/12.2512667870241</f>
        <v>11.308417628566771</v>
      </c>
      <c r="O35" s="7">
        <v>950</v>
      </c>
      <c r="P35" s="7">
        <v>15</v>
      </c>
    </row>
    <row r="36" spans="2:16">
      <c r="B36" s="7"/>
      <c r="C36" s="7"/>
      <c r="D36" s="7"/>
      <c r="E36" s="7"/>
      <c r="F36" s="7"/>
      <c r="J36" s="10">
        <f t="shared" ref="J36:J37" si="8">K36*L36/1000</f>
        <v>75.548000000000002</v>
      </c>
      <c r="K36" s="7">
        <v>935</v>
      </c>
      <c r="L36" s="7">
        <v>80.8</v>
      </c>
      <c r="M36" s="7">
        <v>83.1</v>
      </c>
      <c r="N36" s="7">
        <f t="shared" ref="N36:N37" si="9">K36/196.79236094703+L36/12.2512667870241</f>
        <v>11.346437030454377</v>
      </c>
      <c r="O36" s="7">
        <v>1000</v>
      </c>
      <c r="P36" s="7">
        <v>15</v>
      </c>
    </row>
    <row r="37" spans="2:16">
      <c r="B37" s="7"/>
      <c r="C37" s="7"/>
      <c r="D37" s="7"/>
      <c r="E37" s="7"/>
      <c r="F37" s="7"/>
      <c r="J37" s="10">
        <f t="shared" si="8"/>
        <v>62.181899999999992</v>
      </c>
      <c r="K37" s="7">
        <v>856.5</v>
      </c>
      <c r="L37" s="7">
        <v>72.599999999999994</v>
      </c>
      <c r="M37" s="7">
        <v>72.599999999999994</v>
      </c>
      <c r="N37" s="7">
        <f t="shared" si="9"/>
        <v>10.278220892815785</v>
      </c>
      <c r="O37" s="7">
        <v>1050</v>
      </c>
      <c r="P37" s="7">
        <v>15</v>
      </c>
    </row>
  </sheetData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4AF6-A9A8-A14A-AFA5-EA29B208FD71}">
  <dimension ref="A1:C19"/>
  <sheetViews>
    <sheetView workbookViewId="0">
      <selection activeCell="A9" sqref="A9:A19"/>
    </sheetView>
  </sheetViews>
  <sheetFormatPr baseColWidth="10" defaultRowHeight="15"/>
  <sheetData>
    <row r="1" spans="1:3">
      <c r="A1">
        <v>5.8047973824735655</v>
      </c>
      <c r="B1">
        <v>700</v>
      </c>
      <c r="C1">
        <v>5</v>
      </c>
    </row>
    <row r="2" spans="1:3">
      <c r="A2">
        <v>5.5835969276455337</v>
      </c>
      <c r="B2">
        <v>700</v>
      </c>
      <c r="C2">
        <v>5</v>
      </c>
    </row>
    <row r="3" spans="1:3">
      <c r="A3">
        <v>5.6961425882614476</v>
      </c>
      <c r="B3">
        <v>700</v>
      </c>
      <c r="C3">
        <v>5</v>
      </c>
    </row>
    <row r="4" spans="1:3">
      <c r="A4">
        <v>6.3649601525542909</v>
      </c>
      <c r="B4">
        <v>710</v>
      </c>
      <c r="C4">
        <v>15</v>
      </c>
    </row>
    <row r="5" spans="1:3">
      <c r="A5">
        <v>8.3964060428629459</v>
      </c>
      <c r="B5">
        <v>720</v>
      </c>
      <c r="C5">
        <v>15</v>
      </c>
    </row>
    <row r="6" spans="1:3">
      <c r="A6">
        <v>7.8203324346758034</v>
      </c>
      <c r="B6">
        <v>725</v>
      </c>
      <c r="C6">
        <v>5</v>
      </c>
    </row>
    <row r="7" spans="1:3">
      <c r="A7">
        <v>7.4295223508599664</v>
      </c>
      <c r="B7">
        <v>725</v>
      </c>
      <c r="C7">
        <v>5</v>
      </c>
    </row>
    <row r="8" spans="1:3">
      <c r="A8">
        <v>6.7952264033458718</v>
      </c>
      <c r="B8">
        <v>725</v>
      </c>
      <c r="C8">
        <v>5</v>
      </c>
    </row>
    <row r="9" spans="1:3">
      <c r="A9">
        <v>8.3102000035370871</v>
      </c>
      <c r="B9">
        <v>730</v>
      </c>
      <c r="C9">
        <v>15</v>
      </c>
    </row>
    <row r="10" spans="1:3">
      <c r="A10">
        <v>8.109115844336344</v>
      </c>
      <c r="B10">
        <v>740</v>
      </c>
      <c r="C10">
        <v>15</v>
      </c>
    </row>
    <row r="11" spans="1:3">
      <c r="A11">
        <v>7.7809551680235369</v>
      </c>
      <c r="B11">
        <v>750</v>
      </c>
      <c r="C11">
        <v>5</v>
      </c>
    </row>
    <row r="12" spans="1:3">
      <c r="A12">
        <v>7.7551416631418579</v>
      </c>
      <c r="B12">
        <v>750</v>
      </c>
      <c r="C12">
        <v>5</v>
      </c>
    </row>
    <row r="13" spans="1:3">
      <c r="A13">
        <v>7.5080625108199861</v>
      </c>
      <c r="B13">
        <v>750</v>
      </c>
      <c r="C13">
        <v>5</v>
      </c>
    </row>
    <row r="14" spans="1:3">
      <c r="A14">
        <v>7.559977969551861</v>
      </c>
      <c r="B14">
        <v>775</v>
      </c>
      <c r="C14">
        <v>5</v>
      </c>
    </row>
    <row r="15" spans="1:3">
      <c r="A15">
        <v>7.7401370350046035</v>
      </c>
      <c r="B15">
        <v>775</v>
      </c>
      <c r="C15">
        <v>5</v>
      </c>
    </row>
    <row r="16" spans="1:3">
      <c r="A16">
        <v>7.1374851060503843</v>
      </c>
      <c r="B16">
        <v>775</v>
      </c>
      <c r="C16">
        <v>5</v>
      </c>
    </row>
    <row r="17" spans="1:3">
      <c r="A17">
        <v>7.2120280046104153</v>
      </c>
      <c r="B17">
        <v>800</v>
      </c>
      <c r="C17">
        <v>5</v>
      </c>
    </row>
    <row r="18" spans="1:3">
      <c r="A18">
        <v>6.3074242893389156</v>
      </c>
      <c r="B18">
        <v>800</v>
      </c>
      <c r="C18">
        <v>5</v>
      </c>
    </row>
    <row r="19" spans="1:3">
      <c r="A19">
        <v>7.449527668046116</v>
      </c>
      <c r="B19">
        <v>800</v>
      </c>
      <c r="C19">
        <v>5</v>
      </c>
    </row>
  </sheetData>
  <sortState xmlns:xlrd2="http://schemas.microsoft.com/office/spreadsheetml/2017/richdata2" ref="A1:C19">
    <sortCondition ref="B1:B19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2026-07-10T01:41:04Z</dcterms:modified>
</cp:coreProperties>
</file>